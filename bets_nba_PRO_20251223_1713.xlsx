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"/>
    </mc:Choice>
  </mc:AlternateContent>
  <xr:revisionPtr revIDLastSave="0" documentId="13_ncr:1_{EFE29E0A-5A54-AC46-82FB-0DA1DF90F20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Sheet1!$A$1:$R$110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2" i="1"/>
  <c r="E109" i="1"/>
  <c r="P109" i="1"/>
  <c r="Q3" i="1"/>
  <c r="R3" i="1" s="1"/>
  <c r="Q4" i="1"/>
  <c r="R4" i="1" s="1"/>
  <c r="R5" i="1"/>
  <c r="R6" i="1"/>
  <c r="R7" i="1"/>
  <c r="R8" i="1"/>
  <c r="Q9" i="1"/>
  <c r="R9" i="1" s="1"/>
  <c r="Q10" i="1"/>
  <c r="R10" i="1" s="1"/>
  <c r="R11" i="1"/>
  <c r="R12" i="1"/>
  <c r="Q13" i="1"/>
  <c r="R13" i="1" s="1"/>
  <c r="Q14" i="1"/>
  <c r="R14" i="1" s="1"/>
  <c r="Q15" i="1"/>
  <c r="R15" i="1" s="1"/>
  <c r="R16" i="1"/>
  <c r="R17" i="1"/>
  <c r="R18" i="1"/>
  <c r="Q19" i="1"/>
  <c r="R19" i="1" s="1"/>
  <c r="Q20" i="1"/>
  <c r="R20" i="1" s="1"/>
  <c r="Q21" i="1"/>
  <c r="R22" i="1"/>
  <c r="R23" i="1"/>
  <c r="R24" i="1"/>
  <c r="Q25" i="1"/>
  <c r="R25" i="1" s="1"/>
  <c r="Q26" i="1"/>
  <c r="R26" i="1" s="1"/>
  <c r="R27" i="1"/>
  <c r="Q28" i="1"/>
  <c r="R28" i="1" s="1"/>
  <c r="R29" i="1"/>
  <c r="Q30" i="1"/>
  <c r="R30" i="1" s="1"/>
  <c r="Q31" i="1"/>
  <c r="R31" i="1" s="1"/>
  <c r="R32" i="1"/>
  <c r="Q33" i="1"/>
  <c r="R33" i="1" s="1"/>
  <c r="R34" i="1"/>
  <c r="R35" i="1"/>
  <c r="Q36" i="1"/>
  <c r="R37" i="1"/>
  <c r="R38" i="1"/>
  <c r="R39" i="1"/>
  <c r="R40" i="1"/>
  <c r="Q41" i="1"/>
  <c r="R41" i="1" s="1"/>
  <c r="R42" i="1"/>
  <c r="Q43" i="1"/>
  <c r="R43" i="1" s="1"/>
  <c r="Q44" i="1"/>
  <c r="R44" i="1" s="1"/>
  <c r="Q45" i="1"/>
  <c r="Q46" i="1"/>
  <c r="R46" i="1" s="1"/>
  <c r="Q47" i="1"/>
  <c r="R47" i="1" s="1"/>
  <c r="R48" i="1"/>
  <c r="Q49" i="1"/>
  <c r="R49" i="1" s="1"/>
  <c r="Q50" i="1"/>
  <c r="R50" i="1" s="1"/>
  <c r="R51" i="1"/>
  <c r="R52" i="1"/>
  <c r="Q53" i="1"/>
  <c r="R53" i="1" s="1"/>
  <c r="Q54" i="1"/>
  <c r="R54" i="1" s="1"/>
  <c r="Q55" i="1"/>
  <c r="R55" i="1" s="1"/>
  <c r="Q56" i="1"/>
  <c r="R56" i="1" s="1"/>
  <c r="R57" i="1"/>
  <c r="Q58" i="1"/>
  <c r="R58" i="1" s="1"/>
  <c r="R59" i="1"/>
  <c r="Q60" i="1"/>
  <c r="R60" i="1" s="1"/>
  <c r="R61" i="1"/>
  <c r="R62" i="1"/>
  <c r="R63" i="1"/>
  <c r="R64" i="1"/>
  <c r="R65" i="1"/>
  <c r="Q66" i="1"/>
  <c r="R66" i="1" s="1"/>
  <c r="Q67" i="1"/>
  <c r="Q68" i="1"/>
  <c r="R68" i="1" s="1"/>
  <c r="Q69" i="1"/>
  <c r="R69" i="1" s="1"/>
  <c r="R70" i="1"/>
  <c r="R71" i="1"/>
  <c r="R72" i="1"/>
  <c r="R73" i="1"/>
  <c r="Q74" i="1"/>
  <c r="R74" i="1" s="1"/>
  <c r="R75" i="1"/>
  <c r="Q76" i="1"/>
  <c r="R76" i="1" s="1"/>
  <c r="Q77" i="1"/>
  <c r="R77" i="1" s="1"/>
  <c r="R78" i="1"/>
  <c r="Q79" i="1"/>
  <c r="R79" i="1" s="1"/>
  <c r="R80" i="1"/>
  <c r="Q81" i="1"/>
  <c r="R81" i="1" s="1"/>
  <c r="Q82" i="1"/>
  <c r="R82" i="1" s="1"/>
  <c r="R83" i="1"/>
  <c r="Q84" i="1"/>
  <c r="R84" i="1" s="1"/>
  <c r="Q85" i="1"/>
  <c r="R85" i="1" s="1"/>
  <c r="R86" i="1"/>
  <c r="R87" i="1"/>
  <c r="R88" i="1"/>
  <c r="Q89" i="1"/>
  <c r="R89" i="1" s="1"/>
  <c r="R90" i="1"/>
  <c r="Q91" i="1"/>
  <c r="R91" i="1" s="1"/>
  <c r="Q92" i="1"/>
  <c r="R92" i="1" s="1"/>
  <c r="Q93" i="1"/>
  <c r="R93" i="1" s="1"/>
  <c r="Q94" i="1"/>
  <c r="R94" i="1" s="1"/>
  <c r="Q95" i="1"/>
  <c r="R95" i="1" s="1"/>
  <c r="R96" i="1"/>
  <c r="Q97" i="1"/>
  <c r="R97" i="1" s="1"/>
  <c r="Q98" i="1"/>
  <c r="R98" i="1" s="1"/>
  <c r="Q99" i="1"/>
  <c r="R99" i="1" s="1"/>
  <c r="R100" i="1"/>
  <c r="R101" i="1"/>
  <c r="Q102" i="1"/>
  <c r="R102" i="1" s="1"/>
  <c r="Q103" i="1"/>
  <c r="R104" i="1"/>
  <c r="R105" i="1"/>
  <c r="Q106" i="1"/>
  <c r="R106" i="1" s="1"/>
  <c r="R107" i="1"/>
  <c r="Q108" i="1"/>
  <c r="R108" i="1" s="1"/>
  <c r="Q109" i="1" l="1"/>
  <c r="Q110" i="1" s="1"/>
  <c r="R2" i="1"/>
</calcChain>
</file>

<file path=xl/sharedStrings.xml><?xml version="1.0" encoding="utf-8"?>
<sst xmlns="http://schemas.openxmlformats.org/spreadsheetml/2006/main" count="658" uniqueCount="148">
  <si>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</si>
  <si>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</si>
  <si>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</si>
  <si>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</si>
  <si>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</si>
  <si>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</si>
  <si>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</si>
  <si>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</si>
  <si>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</si>
  <si>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</si>
  <si>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</si>
  <si>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</si>
  <si>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</si>
  <si>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</si>
  <si>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</si>
  <si>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</si>
  <si>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e71e83a0ab574fe87af5567ae09c0fdb</t>
  </si>
  <si>
    <t>7f3e47eb90701b1603802828cc5ea7a5</t>
  </si>
  <si>
    <t>6d9aa23880ce3e5bdf540bda52e89fdc</t>
  </si>
  <si>
    <t>433a5462c6dbbed3ccc5d623dd68b61d</t>
  </si>
  <si>
    <t>aedd66eec65402eb926bb64dbbdb4634</t>
  </si>
  <si>
    <t>fb3afec527051a7bd35ebc862bca8467</t>
  </si>
  <si>
    <t>0ef5c86038bdf564d65c6c1acd964641</t>
  </si>
  <si>
    <t>e62dfd044e3b8f8719ab7bca8b7b389c</t>
  </si>
  <si>
    <t>7168d093c56bdbab627c94322573edb0</t>
  </si>
  <si>
    <t>e6de2100b01d094ccb20332bec9bd42a</t>
  </si>
  <si>
    <t>dbc7af91324284c433f0152b91bd9abb</t>
  </si>
  <si>
    <t>01c88e9888ab9344ed32a62b225d1599</t>
  </si>
  <si>
    <t>c6fd86b688bb64f5b7bdd108ac071a48</t>
  </si>
  <si>
    <t>27f523bb13b709279a0c31dbfa2e2006</t>
  </si>
  <si>
    <t>Tyler Kolek</t>
  </si>
  <si>
    <t>Andre Drummond</t>
  </si>
  <si>
    <t>Ochai Agbaji</t>
  </si>
  <si>
    <t>Cam Spencer</t>
  </si>
  <si>
    <t>Brook Lopez</t>
  </si>
  <si>
    <t>Bobby Portis</t>
  </si>
  <si>
    <t>Steven Adams</t>
  </si>
  <si>
    <t>Joel Embiid</t>
  </si>
  <si>
    <t>Jay Huff</t>
  </si>
  <si>
    <t>Tari Eason</t>
  </si>
  <si>
    <t>Reed Sheppard</t>
  </si>
  <si>
    <t>Victor Wembanyama</t>
  </si>
  <si>
    <t>Jaren Jackson Jr</t>
  </si>
  <si>
    <t>Nikola Jokic</t>
  </si>
  <si>
    <t>Ayo Dosunmu</t>
  </si>
  <si>
    <t>Tyus Jones</t>
  </si>
  <si>
    <t>Marcus Smart</t>
  </si>
  <si>
    <t>Devin Vassell</t>
  </si>
  <si>
    <t>Sandro Mamukelashvili</t>
  </si>
  <si>
    <t>Quentin Grimes</t>
  </si>
  <si>
    <t>Tyrese Maxey</t>
  </si>
  <si>
    <t>Bogdan Bogdanovic</t>
  </si>
  <si>
    <t>Cade Cunningham</t>
  </si>
  <si>
    <t>Wendell Carter Jr</t>
  </si>
  <si>
    <t>Dennis Schroder</t>
  </si>
  <si>
    <t>Nicolas Claxton</t>
  </si>
  <si>
    <t>Onyeka Okongwu</t>
  </si>
  <si>
    <t>Mikal Bridges</t>
  </si>
  <si>
    <t>Svi Mykhailiuk</t>
  </si>
  <si>
    <t>Donte DiVincenzo</t>
  </si>
  <si>
    <t>Isaiah Hartenstein</t>
  </si>
  <si>
    <t>Keyonte George</t>
  </si>
  <si>
    <t>Saddiq Bey</t>
  </si>
  <si>
    <t>Jerami Grant</t>
  </si>
  <si>
    <t>Keegan Murray</t>
  </si>
  <si>
    <t>Naz Reid</t>
  </si>
  <si>
    <t>Peyton Watson</t>
  </si>
  <si>
    <t>LaMelo Ball</t>
  </si>
  <si>
    <t>Naji Marshall</t>
  </si>
  <si>
    <t>Jusuf Nurkic</t>
  </si>
  <si>
    <t>Desmond Bane</t>
  </si>
  <si>
    <t>Amen Thompson</t>
  </si>
  <si>
    <t>DeMar DeRozan</t>
  </si>
  <si>
    <t>Tre Jones</t>
  </si>
  <si>
    <t>Josh Giddey</t>
  </si>
  <si>
    <t>Deni Avdija</t>
  </si>
  <si>
    <t>De'Andre Hunter</t>
  </si>
  <si>
    <t>T.J. McConnell</t>
  </si>
  <si>
    <t>Coby White</t>
  </si>
  <si>
    <t>Precious Achiuwa</t>
  </si>
  <si>
    <t>Miles Bridges</t>
  </si>
  <si>
    <t>Dillon Brooks</t>
  </si>
  <si>
    <t>Luke Kornet</t>
  </si>
  <si>
    <t>Jarace Walker</t>
  </si>
  <si>
    <t>De'Aaron Fox</t>
  </si>
  <si>
    <t>Shaedon Sharpe</t>
  </si>
  <si>
    <t>Kevin Huerter</t>
  </si>
  <si>
    <t>Kel'el Ware</t>
  </si>
  <si>
    <t>Nickeil Alexander-Walker</t>
  </si>
  <si>
    <t>VJ Edgecombe</t>
  </si>
  <si>
    <t>Brandon Ingram</t>
  </si>
  <si>
    <t>Jamal Shead</t>
  </si>
  <si>
    <t>Ryan Rollins</t>
  </si>
  <si>
    <t>Davion Mitchell</t>
  </si>
  <si>
    <t>Jalen Johnson</t>
  </si>
  <si>
    <t>Nikola Vucevic</t>
  </si>
  <si>
    <t>Myles Turner</t>
  </si>
  <si>
    <t>Cooper Flagg</t>
  </si>
  <si>
    <t>Rudy Gobert</t>
  </si>
  <si>
    <t>Ryan Dunn</t>
  </si>
  <si>
    <t>Bruce Brown</t>
  </si>
  <si>
    <t>Darius Garland</t>
  </si>
  <si>
    <t>Cameron Johnson</t>
  </si>
  <si>
    <t>Julius Randle</t>
  </si>
  <si>
    <t>James Harden</t>
  </si>
  <si>
    <t>Maxime Raynaud</t>
  </si>
  <si>
    <t>Duncan Robinson</t>
  </si>
  <si>
    <t>Bam Adebayo</t>
  </si>
  <si>
    <t>Jordan Goodwin</t>
  </si>
  <si>
    <t>P.J. Washington</t>
  </si>
  <si>
    <t>Michael Porter Jr</t>
  </si>
  <si>
    <t>Jamal Murray</t>
  </si>
  <si>
    <t>Tobias Harris</t>
  </si>
  <si>
    <t>Paolo Banchero</t>
  </si>
  <si>
    <t>Royce O'Neale</t>
  </si>
  <si>
    <t>Austin Reaves</t>
  </si>
  <si>
    <t>Mitchell Robinson</t>
  </si>
  <si>
    <t>Simone Fontecchio</t>
  </si>
  <si>
    <t>Kyshawn George</t>
  </si>
  <si>
    <t>Caris LeVert</t>
  </si>
  <si>
    <t>Dru Smith</t>
  </si>
  <si>
    <t>Ausar Thompson</t>
  </si>
  <si>
    <t>points</t>
  </si>
  <si>
    <t>rebounds</t>
  </si>
  <si>
    <t>assists</t>
  </si>
  <si>
    <t>Bovada</t>
  </si>
  <si>
    <t>Pinnacle</t>
  </si>
  <si>
    <t>DraftKings</t>
  </si>
  <si>
    <t>BetOnline.ag</t>
  </si>
  <si>
    <t>BetMGM</t>
  </si>
  <si>
    <t>BetRivers</t>
  </si>
  <si>
    <t>FanDuel</t>
  </si>
  <si>
    <t>New York Knicks @ Minnesota Timberwolves</t>
  </si>
  <si>
    <t>Brooklyn Nets @ Philadelphia 76ers</t>
  </si>
  <si>
    <t>Toronto Raptors @ Miami Heat</t>
  </si>
  <si>
    <t>Memphis Grizzlies @ Utah Jazz</t>
  </si>
  <si>
    <t>Houston Rockets @ Los Angeles Clippers</t>
  </si>
  <si>
    <t>Milwaukee Bucks @ Indiana Pacers</t>
  </si>
  <si>
    <t>Oklahoma City Thunder @ San Antonio Spurs</t>
  </si>
  <si>
    <t>Denver Nuggets @ Dallas Mavericks</t>
  </si>
  <si>
    <t>Chicago Bulls @ Atlanta Hawks</t>
  </si>
  <si>
    <t>Orlando Magic @ Portland Trail Blazers</t>
  </si>
  <si>
    <t>Los Angeles Lakers @ Phoenix Suns</t>
  </si>
  <si>
    <t>Detroit Pistons @ Sacramento Kings</t>
  </si>
  <si>
    <t>New Orleans Pelicans @ Cleveland Cavaliers</t>
  </si>
  <si>
    <t>Washington Wizards @ Charlotte Hornets</t>
  </si>
  <si>
    <t>Under</t>
  </si>
  <si>
    <t>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</si>
</sst>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"/>
  <sheetViews>
    <sheetView tabSelected="1" topLeftCell="A86" workbookViewId="0">
      <selection activeCell="E109" sqref="E109"/>
    </sheetView>
  </sheetViews>
  <sheetFormatPr baseColWidth="10" defaultColWidth="8.83203125" defaultRowHeight="15" x14ac:dyDescent="0.2"/>
  <cols>
    <col min="2" max="2" width="20.1640625" bestFit="1" customWidth="1"/>
    <col min="7" max="7" width="35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30</v>
      </c>
      <c r="C2" t="s">
        <v>122</v>
      </c>
      <c r="D2">
        <v>12.5</v>
      </c>
      <c r="E2">
        <v>2.0499999999999998</v>
      </c>
      <c r="F2" t="s">
        <v>125</v>
      </c>
      <c r="G2" t="s">
        <v>132</v>
      </c>
      <c r="H2" t="s">
        <v>146</v>
      </c>
      <c r="I2">
        <v>4.8</v>
      </c>
      <c r="J2">
        <v>100</v>
      </c>
      <c r="K2">
        <v>51.2</v>
      </c>
      <c r="L2">
        <v>1.05</v>
      </c>
      <c r="M2">
        <v>0.83</v>
      </c>
      <c r="N2">
        <v>-61.6</v>
      </c>
      <c r="O2">
        <v>8</v>
      </c>
      <c r="P2">
        <v>50</v>
      </c>
      <c r="Q2">
        <v>-50</v>
      </c>
      <c r="R2" t="str">
        <f>IF(Q2=-50,"LOSE","WIN")</f>
        <v>LOSE</v>
      </c>
      <c r="S2">
        <f>COUNTIF(R2:R108,"WIN")</f>
        <v>51</v>
      </c>
    </row>
    <row r="3" spans="1:19" x14ac:dyDescent="0.2">
      <c r="A3" t="s">
        <v>17</v>
      </c>
      <c r="B3" t="s">
        <v>31</v>
      </c>
      <c r="C3" t="s">
        <v>123</v>
      </c>
      <c r="D3">
        <v>8.5</v>
      </c>
      <c r="E3">
        <v>2.0299999999999998</v>
      </c>
      <c r="F3" t="s">
        <v>126</v>
      </c>
      <c r="G3" t="s">
        <v>133</v>
      </c>
      <c r="H3" t="s">
        <v>147</v>
      </c>
      <c r="I3">
        <v>12.4</v>
      </c>
      <c r="J3">
        <v>99.2</v>
      </c>
      <c r="K3">
        <v>50</v>
      </c>
      <c r="L3">
        <v>1.0149999999999999</v>
      </c>
      <c r="M3">
        <v>0.95</v>
      </c>
      <c r="N3">
        <v>45.3</v>
      </c>
      <c r="O3">
        <v>9.5</v>
      </c>
      <c r="P3">
        <v>50</v>
      </c>
      <c r="Q3">
        <f t="shared" ref="Q3:Q66" si="0">P3*E3-P3</f>
        <v>51.499999999999986</v>
      </c>
      <c r="R3" t="str">
        <f t="shared" ref="R3:R66" si="1">IF(Q3=-50,"LOSE","WIN")</f>
        <v>WIN</v>
      </c>
      <c r="S3">
        <f>COUNTIF(R2:R108,"LOSE")</f>
        <v>51</v>
      </c>
    </row>
    <row r="4" spans="1:19" x14ac:dyDescent="0.2">
      <c r="A4" t="s">
        <v>18</v>
      </c>
      <c r="B4" t="s">
        <v>32</v>
      </c>
      <c r="C4" t="s">
        <v>122</v>
      </c>
      <c r="D4">
        <v>6.5</v>
      </c>
      <c r="E4">
        <v>2</v>
      </c>
      <c r="F4" t="s">
        <v>127</v>
      </c>
      <c r="G4" t="s">
        <v>134</v>
      </c>
      <c r="H4" t="s">
        <v>146</v>
      </c>
      <c r="I4">
        <v>4</v>
      </c>
      <c r="J4">
        <v>99.7</v>
      </c>
      <c r="K4">
        <v>49.7</v>
      </c>
      <c r="L4">
        <v>0.99399999999999999</v>
      </c>
      <c r="M4">
        <v>0.94</v>
      </c>
      <c r="N4">
        <v>-37.799999999999997</v>
      </c>
      <c r="O4">
        <v>5.5</v>
      </c>
      <c r="P4">
        <v>50</v>
      </c>
      <c r="Q4">
        <f t="shared" si="0"/>
        <v>50</v>
      </c>
      <c r="R4" t="str">
        <f t="shared" si="1"/>
        <v>WIN</v>
      </c>
    </row>
    <row r="5" spans="1:19" x14ac:dyDescent="0.2">
      <c r="A5" t="s">
        <v>19</v>
      </c>
      <c r="B5" t="s">
        <v>33</v>
      </c>
      <c r="C5" t="s">
        <v>124</v>
      </c>
      <c r="D5">
        <v>6.5</v>
      </c>
      <c r="E5">
        <v>2</v>
      </c>
      <c r="F5" t="s">
        <v>128</v>
      </c>
      <c r="G5" t="s">
        <v>135</v>
      </c>
      <c r="H5" t="s">
        <v>146</v>
      </c>
      <c r="I5">
        <v>4.5999999999999996</v>
      </c>
      <c r="J5">
        <v>99.7</v>
      </c>
      <c r="K5">
        <v>49.7</v>
      </c>
      <c r="L5">
        <v>0.99399999999999999</v>
      </c>
      <c r="M5">
        <v>0.95</v>
      </c>
      <c r="N5">
        <v>-28.5</v>
      </c>
      <c r="O5">
        <v>3.5</v>
      </c>
      <c r="P5">
        <v>50</v>
      </c>
      <c r="Q5">
        <v>-50</v>
      </c>
      <c r="R5" t="str">
        <f t="shared" si="1"/>
        <v>LOSE</v>
      </c>
    </row>
    <row r="6" spans="1:19" x14ac:dyDescent="0.2">
      <c r="A6" t="s">
        <v>20</v>
      </c>
      <c r="B6" t="s">
        <v>34</v>
      </c>
      <c r="C6" t="s">
        <v>123</v>
      </c>
      <c r="D6">
        <v>3.5</v>
      </c>
      <c r="E6">
        <v>2</v>
      </c>
      <c r="F6" t="s">
        <v>129</v>
      </c>
      <c r="G6" t="s">
        <v>136</v>
      </c>
      <c r="H6" t="s">
        <v>146</v>
      </c>
      <c r="I6">
        <v>2.1</v>
      </c>
      <c r="J6">
        <v>99.3</v>
      </c>
      <c r="K6">
        <v>49.3</v>
      </c>
      <c r="L6">
        <v>0.98499999999999999</v>
      </c>
      <c r="M6">
        <v>0.95</v>
      </c>
      <c r="N6">
        <v>-40</v>
      </c>
      <c r="O6">
        <v>8</v>
      </c>
      <c r="P6">
        <v>50</v>
      </c>
      <c r="Q6">
        <v>-50</v>
      </c>
      <c r="R6" t="str">
        <f t="shared" si="1"/>
        <v>LOSE</v>
      </c>
    </row>
    <row r="7" spans="1:19" x14ac:dyDescent="0.2">
      <c r="A7" t="s">
        <v>21</v>
      </c>
      <c r="B7" t="s">
        <v>35</v>
      </c>
      <c r="C7" t="s">
        <v>123</v>
      </c>
      <c r="D7">
        <v>8.5</v>
      </c>
      <c r="E7">
        <v>1.98</v>
      </c>
      <c r="F7" t="s">
        <v>126</v>
      </c>
      <c r="G7" t="s">
        <v>137</v>
      </c>
      <c r="H7" t="s">
        <v>146</v>
      </c>
      <c r="I7">
        <v>6</v>
      </c>
      <c r="J7">
        <v>99.7</v>
      </c>
      <c r="K7">
        <v>49.2</v>
      </c>
      <c r="L7">
        <v>0.97399999999999998</v>
      </c>
      <c r="M7">
        <v>0.9</v>
      </c>
      <c r="N7">
        <v>-29.5</v>
      </c>
      <c r="O7">
        <v>1.5</v>
      </c>
      <c r="P7">
        <v>50</v>
      </c>
      <c r="Q7">
        <v>-50</v>
      </c>
      <c r="R7" t="str">
        <f t="shared" si="1"/>
        <v>LOSE</v>
      </c>
    </row>
    <row r="8" spans="1:19" x14ac:dyDescent="0.2">
      <c r="A8" t="s">
        <v>20</v>
      </c>
      <c r="B8" t="s">
        <v>36</v>
      </c>
      <c r="C8" t="s">
        <v>123</v>
      </c>
      <c r="D8">
        <v>6.5</v>
      </c>
      <c r="E8">
        <v>2</v>
      </c>
      <c r="F8" t="s">
        <v>129</v>
      </c>
      <c r="G8" t="s">
        <v>136</v>
      </c>
      <c r="H8" t="s">
        <v>147</v>
      </c>
      <c r="I8">
        <v>8.6999999999999993</v>
      </c>
      <c r="J8">
        <v>98.5</v>
      </c>
      <c r="K8">
        <v>48.5</v>
      </c>
      <c r="L8">
        <v>0.97</v>
      </c>
      <c r="M8">
        <v>0.93</v>
      </c>
      <c r="N8">
        <v>34.200000000000003</v>
      </c>
      <c r="O8">
        <v>8</v>
      </c>
      <c r="P8">
        <v>50</v>
      </c>
      <c r="Q8">
        <v>-50</v>
      </c>
      <c r="R8" t="str">
        <f t="shared" si="1"/>
        <v>LOSE</v>
      </c>
    </row>
    <row r="9" spans="1:19" x14ac:dyDescent="0.2">
      <c r="A9" t="s">
        <v>17</v>
      </c>
      <c r="B9" t="s">
        <v>37</v>
      </c>
      <c r="C9" t="s">
        <v>123</v>
      </c>
      <c r="D9">
        <v>7.5</v>
      </c>
      <c r="E9">
        <v>1.97</v>
      </c>
      <c r="F9" t="s">
        <v>126</v>
      </c>
      <c r="G9" t="s">
        <v>133</v>
      </c>
      <c r="H9" t="s">
        <v>146</v>
      </c>
      <c r="I9">
        <v>5.3</v>
      </c>
      <c r="J9">
        <v>99</v>
      </c>
      <c r="K9">
        <v>48.3</v>
      </c>
      <c r="L9">
        <v>0.95099999999999996</v>
      </c>
      <c r="M9">
        <v>0.95</v>
      </c>
      <c r="N9">
        <v>-29.1</v>
      </c>
      <c r="O9">
        <v>9.5</v>
      </c>
      <c r="P9">
        <v>50</v>
      </c>
      <c r="Q9">
        <f t="shared" si="0"/>
        <v>48.5</v>
      </c>
      <c r="R9" t="str">
        <f t="shared" si="1"/>
        <v>WIN</v>
      </c>
    </row>
    <row r="10" spans="1:19" x14ac:dyDescent="0.2">
      <c r="A10" t="s">
        <v>21</v>
      </c>
      <c r="B10" t="s">
        <v>38</v>
      </c>
      <c r="C10" t="s">
        <v>122</v>
      </c>
      <c r="D10">
        <v>9.5</v>
      </c>
      <c r="E10">
        <v>2.1</v>
      </c>
      <c r="F10" t="s">
        <v>125</v>
      </c>
      <c r="G10" t="s">
        <v>137</v>
      </c>
      <c r="H10" t="s">
        <v>146</v>
      </c>
      <c r="I10">
        <v>7.2</v>
      </c>
      <c r="J10">
        <v>92.8</v>
      </c>
      <c r="K10">
        <v>45.1</v>
      </c>
      <c r="L10">
        <v>0.94799999999999995</v>
      </c>
      <c r="M10">
        <v>0.94</v>
      </c>
      <c r="N10">
        <v>-24.3</v>
      </c>
      <c r="O10">
        <v>1.5</v>
      </c>
      <c r="P10">
        <v>50</v>
      </c>
      <c r="Q10">
        <f t="shared" si="0"/>
        <v>55</v>
      </c>
      <c r="R10" t="str">
        <f t="shared" si="1"/>
        <v>WIN</v>
      </c>
    </row>
    <row r="11" spans="1:19" x14ac:dyDescent="0.2">
      <c r="A11" t="s">
        <v>20</v>
      </c>
      <c r="B11" t="s">
        <v>39</v>
      </c>
      <c r="C11" t="s">
        <v>122</v>
      </c>
      <c r="D11">
        <v>8.5</v>
      </c>
      <c r="E11">
        <v>2.1</v>
      </c>
      <c r="F11" t="s">
        <v>125</v>
      </c>
      <c r="G11" t="s">
        <v>136</v>
      </c>
      <c r="H11" t="s">
        <v>147</v>
      </c>
      <c r="I11">
        <v>11.8</v>
      </c>
      <c r="J11">
        <v>92.7</v>
      </c>
      <c r="K11">
        <v>45.1</v>
      </c>
      <c r="L11">
        <v>0.94599999999999995</v>
      </c>
      <c r="M11">
        <v>0.83</v>
      </c>
      <c r="N11">
        <v>38.799999999999997</v>
      </c>
      <c r="O11">
        <v>8</v>
      </c>
      <c r="P11">
        <v>50</v>
      </c>
      <c r="Q11">
        <v>-50</v>
      </c>
      <c r="R11" t="str">
        <f t="shared" si="1"/>
        <v>LOSE</v>
      </c>
    </row>
    <row r="12" spans="1:19" x14ac:dyDescent="0.2">
      <c r="A12" t="s">
        <v>20</v>
      </c>
      <c r="B12" t="s">
        <v>40</v>
      </c>
      <c r="C12" t="s">
        <v>122</v>
      </c>
      <c r="D12">
        <v>12.5</v>
      </c>
      <c r="E12">
        <v>2.02</v>
      </c>
      <c r="F12" t="s">
        <v>128</v>
      </c>
      <c r="G12" t="s">
        <v>136</v>
      </c>
      <c r="H12" t="s">
        <v>147</v>
      </c>
      <c r="I12">
        <v>16.899999999999999</v>
      </c>
      <c r="J12">
        <v>96.2</v>
      </c>
      <c r="K12">
        <v>46.7</v>
      </c>
      <c r="L12">
        <v>0.94399999999999995</v>
      </c>
      <c r="M12">
        <v>0.83</v>
      </c>
      <c r="N12">
        <v>34.9</v>
      </c>
      <c r="O12">
        <v>8</v>
      </c>
      <c r="P12">
        <v>50</v>
      </c>
      <c r="Q12">
        <v>-50</v>
      </c>
      <c r="R12" t="str">
        <f t="shared" si="1"/>
        <v>LOSE</v>
      </c>
    </row>
    <row r="13" spans="1:19" x14ac:dyDescent="0.2">
      <c r="A13" t="s">
        <v>22</v>
      </c>
      <c r="B13" t="s">
        <v>41</v>
      </c>
      <c r="C13" t="s">
        <v>124</v>
      </c>
      <c r="D13">
        <v>2.5</v>
      </c>
      <c r="E13">
        <v>2.06</v>
      </c>
      <c r="F13" t="s">
        <v>130</v>
      </c>
      <c r="G13" t="s">
        <v>138</v>
      </c>
      <c r="H13" t="s">
        <v>147</v>
      </c>
      <c r="I13">
        <v>3.5</v>
      </c>
      <c r="J13">
        <v>93.4</v>
      </c>
      <c r="K13">
        <v>44.8</v>
      </c>
      <c r="L13">
        <v>0.92300000000000004</v>
      </c>
      <c r="M13">
        <v>0.92</v>
      </c>
      <c r="N13">
        <v>40.799999999999997</v>
      </c>
      <c r="O13">
        <v>5.5</v>
      </c>
      <c r="P13">
        <v>50</v>
      </c>
      <c r="Q13">
        <f t="shared" si="0"/>
        <v>53</v>
      </c>
      <c r="R13" t="str">
        <f t="shared" si="1"/>
        <v>WIN</v>
      </c>
    </row>
    <row r="14" spans="1:19" x14ac:dyDescent="0.2">
      <c r="A14" t="s">
        <v>19</v>
      </c>
      <c r="B14" t="s">
        <v>42</v>
      </c>
      <c r="C14" t="s">
        <v>124</v>
      </c>
      <c r="D14">
        <v>2.5</v>
      </c>
      <c r="E14">
        <v>2.0499999999999998</v>
      </c>
      <c r="F14" t="s">
        <v>125</v>
      </c>
      <c r="G14" t="s">
        <v>135</v>
      </c>
      <c r="H14" t="s">
        <v>146</v>
      </c>
      <c r="I14">
        <v>1.9</v>
      </c>
      <c r="J14">
        <v>93.6</v>
      </c>
      <c r="K14">
        <v>44.8</v>
      </c>
      <c r="L14">
        <v>0.91900000000000004</v>
      </c>
      <c r="M14">
        <v>0.95</v>
      </c>
      <c r="N14">
        <v>-25.6</v>
      </c>
      <c r="O14">
        <v>3.5</v>
      </c>
      <c r="P14">
        <v>50</v>
      </c>
      <c r="Q14">
        <f t="shared" si="0"/>
        <v>52.499999999999986</v>
      </c>
      <c r="R14" t="str">
        <f t="shared" si="1"/>
        <v>WIN</v>
      </c>
    </row>
    <row r="15" spans="1:19" x14ac:dyDescent="0.2">
      <c r="A15" t="s">
        <v>23</v>
      </c>
      <c r="B15" t="s">
        <v>43</v>
      </c>
      <c r="C15" t="s">
        <v>122</v>
      </c>
      <c r="D15">
        <v>29.5</v>
      </c>
      <c r="E15">
        <v>2</v>
      </c>
      <c r="F15" t="s">
        <v>125</v>
      </c>
      <c r="G15" t="s">
        <v>139</v>
      </c>
      <c r="H15" t="s">
        <v>146</v>
      </c>
      <c r="I15">
        <v>24.4</v>
      </c>
      <c r="J15">
        <v>95.8</v>
      </c>
      <c r="K15">
        <v>45.8</v>
      </c>
      <c r="L15">
        <v>0.91600000000000004</v>
      </c>
      <c r="M15">
        <v>0.94</v>
      </c>
      <c r="N15">
        <v>-17.5</v>
      </c>
      <c r="O15">
        <v>7</v>
      </c>
      <c r="P15">
        <v>50</v>
      </c>
      <c r="Q15">
        <f t="shared" si="0"/>
        <v>50</v>
      </c>
      <c r="R15" t="str">
        <f t="shared" si="1"/>
        <v>WIN</v>
      </c>
    </row>
    <row r="16" spans="1:19" x14ac:dyDescent="0.2">
      <c r="A16" t="s">
        <v>24</v>
      </c>
      <c r="B16" t="s">
        <v>44</v>
      </c>
      <c r="C16" t="s">
        <v>122</v>
      </c>
      <c r="D16">
        <v>9.5</v>
      </c>
      <c r="E16">
        <v>1.89</v>
      </c>
      <c r="F16" t="s">
        <v>128</v>
      </c>
      <c r="G16" t="s">
        <v>140</v>
      </c>
      <c r="H16" t="s">
        <v>147</v>
      </c>
      <c r="I16">
        <v>17.5</v>
      </c>
      <c r="J16">
        <v>100</v>
      </c>
      <c r="K16">
        <v>47.1</v>
      </c>
      <c r="L16">
        <v>0.89</v>
      </c>
      <c r="M16">
        <v>0.87</v>
      </c>
      <c r="N16">
        <v>84.6</v>
      </c>
      <c r="O16">
        <v>4</v>
      </c>
      <c r="P16">
        <v>50</v>
      </c>
      <c r="Q16">
        <v>-50</v>
      </c>
      <c r="R16" t="str">
        <f t="shared" si="1"/>
        <v>LOSE</v>
      </c>
    </row>
    <row r="17" spans="1:18" x14ac:dyDescent="0.2">
      <c r="A17" t="s">
        <v>25</v>
      </c>
      <c r="B17" t="s">
        <v>45</v>
      </c>
      <c r="C17" t="s">
        <v>123</v>
      </c>
      <c r="D17">
        <v>1.5</v>
      </c>
      <c r="E17">
        <v>1.95</v>
      </c>
      <c r="F17" t="s">
        <v>128</v>
      </c>
      <c r="G17" t="s">
        <v>141</v>
      </c>
      <c r="H17" t="s">
        <v>146</v>
      </c>
      <c r="I17">
        <v>1</v>
      </c>
      <c r="J17">
        <v>95.1</v>
      </c>
      <c r="K17">
        <v>43.8</v>
      </c>
      <c r="L17">
        <v>0.85399999999999998</v>
      </c>
      <c r="M17">
        <v>0.87</v>
      </c>
      <c r="N17">
        <v>-35.299999999999997</v>
      </c>
      <c r="O17">
        <v>2</v>
      </c>
      <c r="P17">
        <v>50</v>
      </c>
      <c r="Q17">
        <v>-50</v>
      </c>
      <c r="R17" t="str">
        <f t="shared" si="1"/>
        <v>LOSE</v>
      </c>
    </row>
    <row r="18" spans="1:18" x14ac:dyDescent="0.2">
      <c r="A18" t="s">
        <v>26</v>
      </c>
      <c r="B18" t="s">
        <v>46</v>
      </c>
      <c r="C18" t="s">
        <v>122</v>
      </c>
      <c r="D18">
        <v>11.5</v>
      </c>
      <c r="E18">
        <v>1.91</v>
      </c>
      <c r="F18" t="s">
        <v>129</v>
      </c>
      <c r="G18" t="s">
        <v>142</v>
      </c>
      <c r="H18" t="s">
        <v>146</v>
      </c>
      <c r="I18">
        <v>8</v>
      </c>
      <c r="J18">
        <v>97</v>
      </c>
      <c r="K18">
        <v>44.7</v>
      </c>
      <c r="L18">
        <v>0.85299999999999998</v>
      </c>
      <c r="M18">
        <v>0.84</v>
      </c>
      <c r="N18">
        <v>-30.7</v>
      </c>
      <c r="O18">
        <v>5.5</v>
      </c>
      <c r="P18">
        <v>50</v>
      </c>
      <c r="Q18">
        <v>-50</v>
      </c>
      <c r="R18" t="str">
        <f t="shared" si="1"/>
        <v>LOSE</v>
      </c>
    </row>
    <row r="19" spans="1:18" x14ac:dyDescent="0.2">
      <c r="A19" t="s">
        <v>22</v>
      </c>
      <c r="B19" t="s">
        <v>47</v>
      </c>
      <c r="C19" t="s">
        <v>122</v>
      </c>
      <c r="D19">
        <v>13.5</v>
      </c>
      <c r="E19">
        <v>1.95</v>
      </c>
      <c r="F19" t="s">
        <v>128</v>
      </c>
      <c r="G19" t="s">
        <v>138</v>
      </c>
      <c r="H19" t="s">
        <v>147</v>
      </c>
      <c r="I19">
        <v>18</v>
      </c>
      <c r="J19">
        <v>94.9</v>
      </c>
      <c r="K19">
        <v>43.6</v>
      </c>
      <c r="L19">
        <v>0.85</v>
      </c>
      <c r="M19">
        <v>0.77</v>
      </c>
      <c r="N19">
        <v>33.200000000000003</v>
      </c>
      <c r="O19">
        <v>5.5</v>
      </c>
      <c r="P19">
        <v>50</v>
      </c>
      <c r="Q19">
        <f t="shared" si="0"/>
        <v>47.5</v>
      </c>
      <c r="R19" t="str">
        <f t="shared" si="1"/>
        <v>WIN</v>
      </c>
    </row>
    <row r="20" spans="1:18" x14ac:dyDescent="0.2">
      <c r="A20" t="s">
        <v>18</v>
      </c>
      <c r="B20" t="s">
        <v>48</v>
      </c>
      <c r="C20" t="s">
        <v>123</v>
      </c>
      <c r="D20">
        <v>7.5</v>
      </c>
      <c r="E20">
        <v>1.87</v>
      </c>
      <c r="F20" t="s">
        <v>126</v>
      </c>
      <c r="G20" t="s">
        <v>134</v>
      </c>
      <c r="H20" t="s">
        <v>146</v>
      </c>
      <c r="I20">
        <v>5.5</v>
      </c>
      <c r="J20">
        <v>98.8</v>
      </c>
      <c r="K20">
        <v>45.3</v>
      </c>
      <c r="L20">
        <v>0.84699999999999998</v>
      </c>
      <c r="M20">
        <v>0.79</v>
      </c>
      <c r="N20">
        <v>-26.3</v>
      </c>
      <c r="O20">
        <v>5.5</v>
      </c>
      <c r="P20">
        <v>50</v>
      </c>
      <c r="Q20">
        <f t="shared" si="0"/>
        <v>43.5</v>
      </c>
      <c r="R20" t="str">
        <f t="shared" si="1"/>
        <v>WIN</v>
      </c>
    </row>
    <row r="21" spans="1:18" x14ac:dyDescent="0.2">
      <c r="A21" t="s">
        <v>17</v>
      </c>
      <c r="B21" t="s">
        <v>49</v>
      </c>
      <c r="C21" t="s">
        <v>122</v>
      </c>
      <c r="D21">
        <v>12.5</v>
      </c>
      <c r="E21">
        <v>1.93</v>
      </c>
      <c r="F21" t="s">
        <v>130</v>
      </c>
      <c r="G21" t="s">
        <v>133</v>
      </c>
      <c r="H21" t="s">
        <v>147</v>
      </c>
      <c r="I21">
        <v>16.899999999999999</v>
      </c>
      <c r="J21">
        <v>95.5</v>
      </c>
      <c r="K21">
        <v>43.7</v>
      </c>
      <c r="L21">
        <v>0.84299999999999997</v>
      </c>
      <c r="M21">
        <v>0.77</v>
      </c>
      <c r="N21">
        <v>34.9</v>
      </c>
      <c r="O21">
        <v>9.5</v>
      </c>
      <c r="P21">
        <v>0</v>
      </c>
      <c r="Q21">
        <f t="shared" si="0"/>
        <v>0</v>
      </c>
    </row>
    <row r="22" spans="1:18" x14ac:dyDescent="0.2">
      <c r="A22" t="s">
        <v>17</v>
      </c>
      <c r="B22" t="s">
        <v>50</v>
      </c>
      <c r="C22" t="s">
        <v>122</v>
      </c>
      <c r="D22">
        <v>27.5</v>
      </c>
      <c r="E22">
        <v>1.95</v>
      </c>
      <c r="F22" t="s">
        <v>126</v>
      </c>
      <c r="G22" t="s">
        <v>133</v>
      </c>
      <c r="H22" t="s">
        <v>147</v>
      </c>
      <c r="I22">
        <v>33.6</v>
      </c>
      <c r="J22">
        <v>94.4</v>
      </c>
      <c r="K22">
        <v>43.1</v>
      </c>
      <c r="L22">
        <v>0.84</v>
      </c>
      <c r="M22">
        <v>0.79</v>
      </c>
      <c r="N22">
        <v>22.3</v>
      </c>
      <c r="O22">
        <v>9.5</v>
      </c>
      <c r="P22">
        <v>50</v>
      </c>
      <c r="Q22">
        <v>-50</v>
      </c>
      <c r="R22" t="str">
        <f t="shared" si="1"/>
        <v>LOSE</v>
      </c>
    </row>
    <row r="23" spans="1:18" x14ac:dyDescent="0.2">
      <c r="A23" t="s">
        <v>20</v>
      </c>
      <c r="B23" t="s">
        <v>51</v>
      </c>
      <c r="C23" t="s">
        <v>123</v>
      </c>
      <c r="D23">
        <v>2.5</v>
      </c>
      <c r="E23">
        <v>2.1</v>
      </c>
      <c r="F23" t="s">
        <v>125</v>
      </c>
      <c r="G23" t="s">
        <v>136</v>
      </c>
      <c r="H23" t="s">
        <v>147</v>
      </c>
      <c r="I23">
        <v>3.4</v>
      </c>
      <c r="J23">
        <v>86.7</v>
      </c>
      <c r="K23">
        <v>39.1</v>
      </c>
      <c r="L23">
        <v>0.82</v>
      </c>
      <c r="M23">
        <v>0.76</v>
      </c>
      <c r="N23">
        <v>34</v>
      </c>
      <c r="O23">
        <v>8</v>
      </c>
      <c r="P23">
        <v>50</v>
      </c>
      <c r="Q23">
        <v>-50</v>
      </c>
      <c r="R23" t="str">
        <f t="shared" si="1"/>
        <v>LOSE</v>
      </c>
    </row>
    <row r="24" spans="1:18" x14ac:dyDescent="0.2">
      <c r="A24" t="s">
        <v>27</v>
      </c>
      <c r="B24" t="s">
        <v>52</v>
      </c>
      <c r="C24" t="s">
        <v>123</v>
      </c>
      <c r="D24">
        <v>6.5</v>
      </c>
      <c r="E24">
        <v>2.1</v>
      </c>
      <c r="F24" t="s">
        <v>129</v>
      </c>
      <c r="G24" t="s">
        <v>143</v>
      </c>
      <c r="H24" t="s">
        <v>147</v>
      </c>
      <c r="I24">
        <v>7.7</v>
      </c>
      <c r="J24">
        <v>86.7</v>
      </c>
      <c r="K24">
        <v>39.1</v>
      </c>
      <c r="L24">
        <v>0.82</v>
      </c>
      <c r="M24">
        <v>0.85</v>
      </c>
      <c r="N24">
        <v>18.8</v>
      </c>
      <c r="O24">
        <v>9</v>
      </c>
      <c r="P24">
        <v>50</v>
      </c>
      <c r="Q24">
        <v>-50</v>
      </c>
      <c r="R24" t="str">
        <f t="shared" si="1"/>
        <v>LOSE</v>
      </c>
    </row>
    <row r="25" spans="1:18" x14ac:dyDescent="0.2">
      <c r="A25" t="s">
        <v>25</v>
      </c>
      <c r="B25" t="s">
        <v>53</v>
      </c>
      <c r="C25" t="s">
        <v>122</v>
      </c>
      <c r="D25">
        <v>12.5</v>
      </c>
      <c r="E25">
        <v>2</v>
      </c>
      <c r="F25" t="s">
        <v>125</v>
      </c>
      <c r="G25" t="s">
        <v>141</v>
      </c>
      <c r="H25" t="s">
        <v>147</v>
      </c>
      <c r="I25">
        <v>14.7</v>
      </c>
      <c r="J25">
        <v>90.8</v>
      </c>
      <c r="K25">
        <v>40.799999999999997</v>
      </c>
      <c r="L25">
        <v>0.81699999999999995</v>
      </c>
      <c r="M25">
        <v>0.9</v>
      </c>
      <c r="N25">
        <v>17.7</v>
      </c>
      <c r="O25">
        <v>2</v>
      </c>
      <c r="P25">
        <v>50</v>
      </c>
      <c r="Q25">
        <f t="shared" si="0"/>
        <v>50</v>
      </c>
      <c r="R25" t="str">
        <f t="shared" si="1"/>
        <v>WIN</v>
      </c>
    </row>
    <row r="26" spans="1:18" x14ac:dyDescent="0.2">
      <c r="A26" t="s">
        <v>27</v>
      </c>
      <c r="B26" t="s">
        <v>54</v>
      </c>
      <c r="C26" t="s">
        <v>122</v>
      </c>
      <c r="D26">
        <v>13.5</v>
      </c>
      <c r="E26">
        <v>1.98</v>
      </c>
      <c r="F26" t="s">
        <v>127</v>
      </c>
      <c r="G26" t="s">
        <v>143</v>
      </c>
      <c r="H26" t="s">
        <v>147</v>
      </c>
      <c r="I26">
        <v>17.600000000000001</v>
      </c>
      <c r="J26">
        <v>91.4</v>
      </c>
      <c r="K26">
        <v>40.9</v>
      </c>
      <c r="L26">
        <v>0.81</v>
      </c>
      <c r="M26">
        <v>0.79</v>
      </c>
      <c r="N26">
        <v>30</v>
      </c>
      <c r="O26">
        <v>9</v>
      </c>
      <c r="P26">
        <v>50</v>
      </c>
      <c r="Q26">
        <f t="shared" si="0"/>
        <v>49</v>
      </c>
      <c r="R26" t="str">
        <f t="shared" si="1"/>
        <v>WIN</v>
      </c>
    </row>
    <row r="27" spans="1:18" x14ac:dyDescent="0.2">
      <c r="A27" t="s">
        <v>17</v>
      </c>
      <c r="B27" t="s">
        <v>55</v>
      </c>
      <c r="C27" t="s">
        <v>124</v>
      </c>
      <c r="D27">
        <v>3.5</v>
      </c>
      <c r="E27">
        <v>1.88</v>
      </c>
      <c r="F27" t="s">
        <v>131</v>
      </c>
      <c r="G27" t="s">
        <v>133</v>
      </c>
      <c r="H27" t="s">
        <v>147</v>
      </c>
      <c r="I27">
        <v>5.2</v>
      </c>
      <c r="J27">
        <v>95.3</v>
      </c>
      <c r="K27">
        <v>42.1</v>
      </c>
      <c r="L27">
        <v>0.79200000000000004</v>
      </c>
      <c r="M27">
        <v>0.79</v>
      </c>
      <c r="N27">
        <v>49.4</v>
      </c>
      <c r="O27">
        <v>9.5</v>
      </c>
      <c r="P27">
        <v>50</v>
      </c>
      <c r="Q27">
        <v>-50</v>
      </c>
      <c r="R27" t="str">
        <f t="shared" si="1"/>
        <v>LOSE</v>
      </c>
    </row>
    <row r="28" spans="1:18" x14ac:dyDescent="0.2">
      <c r="A28" t="s">
        <v>24</v>
      </c>
      <c r="B28" t="s">
        <v>56</v>
      </c>
      <c r="C28" t="s">
        <v>122</v>
      </c>
      <c r="D28">
        <v>18.5</v>
      </c>
      <c r="E28">
        <v>1.94</v>
      </c>
      <c r="F28" t="s">
        <v>131</v>
      </c>
      <c r="G28" t="s">
        <v>140</v>
      </c>
      <c r="H28" t="s">
        <v>146</v>
      </c>
      <c r="I28">
        <v>15.2</v>
      </c>
      <c r="J28">
        <v>92.1</v>
      </c>
      <c r="K28">
        <v>40.6</v>
      </c>
      <c r="L28">
        <v>0.78700000000000003</v>
      </c>
      <c r="M28">
        <v>0.79</v>
      </c>
      <c r="N28">
        <v>-18.100000000000001</v>
      </c>
      <c r="O28">
        <v>4</v>
      </c>
      <c r="P28">
        <v>50</v>
      </c>
      <c r="Q28">
        <f t="shared" si="0"/>
        <v>47</v>
      </c>
      <c r="R28" t="str">
        <f t="shared" si="1"/>
        <v>WIN</v>
      </c>
    </row>
    <row r="29" spans="1:18" x14ac:dyDescent="0.2">
      <c r="A29" t="s">
        <v>16</v>
      </c>
      <c r="B29" t="s">
        <v>57</v>
      </c>
      <c r="C29" t="s">
        <v>123</v>
      </c>
      <c r="D29">
        <v>4.5</v>
      </c>
      <c r="E29">
        <v>2.08</v>
      </c>
      <c r="F29" t="s">
        <v>130</v>
      </c>
      <c r="G29" t="s">
        <v>132</v>
      </c>
      <c r="H29" t="s">
        <v>147</v>
      </c>
      <c r="I29">
        <v>5.4</v>
      </c>
      <c r="J29">
        <v>85.9</v>
      </c>
      <c r="K29">
        <v>37.799999999999997</v>
      </c>
      <c r="L29">
        <v>0.78700000000000003</v>
      </c>
      <c r="M29">
        <v>0.76</v>
      </c>
      <c r="N29">
        <v>20.9</v>
      </c>
      <c r="O29">
        <v>8</v>
      </c>
      <c r="P29">
        <v>50</v>
      </c>
      <c r="Q29">
        <v>-50</v>
      </c>
      <c r="R29" t="str">
        <f t="shared" si="1"/>
        <v>LOSE</v>
      </c>
    </row>
    <row r="30" spans="1:18" x14ac:dyDescent="0.2">
      <c r="A30" t="s">
        <v>19</v>
      </c>
      <c r="B30" t="s">
        <v>58</v>
      </c>
      <c r="C30" t="s">
        <v>124</v>
      </c>
      <c r="D30">
        <v>1.5</v>
      </c>
      <c r="E30">
        <v>1.95</v>
      </c>
      <c r="F30" t="s">
        <v>129</v>
      </c>
      <c r="G30" t="s">
        <v>135</v>
      </c>
      <c r="H30" t="s">
        <v>147</v>
      </c>
      <c r="I30">
        <v>2.2000000000000002</v>
      </c>
      <c r="J30">
        <v>91.4</v>
      </c>
      <c r="K30">
        <v>40.1</v>
      </c>
      <c r="L30">
        <v>0.78300000000000003</v>
      </c>
      <c r="M30">
        <v>0.8</v>
      </c>
      <c r="N30">
        <v>44.7</v>
      </c>
      <c r="O30">
        <v>3.5</v>
      </c>
      <c r="P30">
        <v>50</v>
      </c>
      <c r="Q30">
        <f t="shared" si="0"/>
        <v>47.5</v>
      </c>
      <c r="R30" t="str">
        <f t="shared" si="1"/>
        <v>WIN</v>
      </c>
    </row>
    <row r="31" spans="1:18" x14ac:dyDescent="0.2">
      <c r="A31" t="s">
        <v>25</v>
      </c>
      <c r="B31" t="s">
        <v>53</v>
      </c>
      <c r="C31" t="s">
        <v>123</v>
      </c>
      <c r="D31">
        <v>7.5</v>
      </c>
      <c r="E31">
        <v>2.08</v>
      </c>
      <c r="F31" t="s">
        <v>131</v>
      </c>
      <c r="G31" t="s">
        <v>141</v>
      </c>
      <c r="H31" t="s">
        <v>146</v>
      </c>
      <c r="I31">
        <v>6.5</v>
      </c>
      <c r="J31">
        <v>85.7</v>
      </c>
      <c r="K31">
        <v>37.6</v>
      </c>
      <c r="L31">
        <v>0.78300000000000003</v>
      </c>
      <c r="M31">
        <v>0.87</v>
      </c>
      <c r="N31">
        <v>-13.3</v>
      </c>
      <c r="O31">
        <v>2</v>
      </c>
      <c r="P31">
        <v>50</v>
      </c>
      <c r="Q31">
        <f t="shared" si="0"/>
        <v>54</v>
      </c>
      <c r="R31" t="str">
        <f t="shared" si="1"/>
        <v>WIN</v>
      </c>
    </row>
    <row r="32" spans="1:18" x14ac:dyDescent="0.2">
      <c r="A32" t="s">
        <v>16</v>
      </c>
      <c r="B32" t="s">
        <v>59</v>
      </c>
      <c r="C32" t="s">
        <v>122</v>
      </c>
      <c r="D32">
        <v>14.5</v>
      </c>
      <c r="E32">
        <v>1.91</v>
      </c>
      <c r="F32" t="s">
        <v>127</v>
      </c>
      <c r="G32" t="s">
        <v>132</v>
      </c>
      <c r="H32" t="s">
        <v>147</v>
      </c>
      <c r="I32">
        <v>17.5</v>
      </c>
      <c r="J32">
        <v>93.2</v>
      </c>
      <c r="K32">
        <v>40.799999999999997</v>
      </c>
      <c r="L32">
        <v>0.78</v>
      </c>
      <c r="M32">
        <v>0.87</v>
      </c>
      <c r="N32">
        <v>20.5</v>
      </c>
      <c r="O32">
        <v>8</v>
      </c>
      <c r="P32">
        <v>50</v>
      </c>
      <c r="Q32">
        <v>-50</v>
      </c>
      <c r="R32" t="str">
        <f t="shared" si="1"/>
        <v>LOSE</v>
      </c>
    </row>
    <row r="33" spans="1:18" x14ac:dyDescent="0.2">
      <c r="A33" t="s">
        <v>22</v>
      </c>
      <c r="B33" t="s">
        <v>60</v>
      </c>
      <c r="C33" t="s">
        <v>123</v>
      </c>
      <c r="D33">
        <v>8.5</v>
      </c>
      <c r="E33">
        <v>1.83</v>
      </c>
      <c r="F33" t="s">
        <v>125</v>
      </c>
      <c r="G33" t="s">
        <v>138</v>
      </c>
      <c r="H33" t="s">
        <v>147</v>
      </c>
      <c r="I33">
        <v>10.8</v>
      </c>
      <c r="J33">
        <v>97.2</v>
      </c>
      <c r="K33">
        <v>42.6</v>
      </c>
      <c r="L33">
        <v>0.77900000000000003</v>
      </c>
      <c r="M33">
        <v>0.88</v>
      </c>
      <c r="N33">
        <v>27.1</v>
      </c>
      <c r="O33">
        <v>5.5</v>
      </c>
      <c r="P33">
        <v>50</v>
      </c>
      <c r="Q33">
        <f t="shared" si="0"/>
        <v>41.5</v>
      </c>
      <c r="R33" t="str">
        <f t="shared" si="1"/>
        <v>WIN</v>
      </c>
    </row>
    <row r="34" spans="1:18" x14ac:dyDescent="0.2">
      <c r="A34" t="s">
        <v>19</v>
      </c>
      <c r="B34" t="s">
        <v>61</v>
      </c>
      <c r="C34" t="s">
        <v>124</v>
      </c>
      <c r="D34">
        <v>7.5</v>
      </c>
      <c r="E34">
        <v>2.09</v>
      </c>
      <c r="F34" t="s">
        <v>127</v>
      </c>
      <c r="G34" t="s">
        <v>135</v>
      </c>
      <c r="H34" t="s">
        <v>147</v>
      </c>
      <c r="I34">
        <v>8.3000000000000007</v>
      </c>
      <c r="J34">
        <v>84.5</v>
      </c>
      <c r="K34">
        <v>36.700000000000003</v>
      </c>
      <c r="L34">
        <v>0.76600000000000001</v>
      </c>
      <c r="M34">
        <v>0.92</v>
      </c>
      <c r="N34">
        <v>10.4</v>
      </c>
      <c r="O34">
        <v>3.5</v>
      </c>
      <c r="P34">
        <v>50</v>
      </c>
      <c r="Q34">
        <v>-50</v>
      </c>
      <c r="R34" t="str">
        <f t="shared" si="1"/>
        <v>LOSE</v>
      </c>
    </row>
    <row r="35" spans="1:18" x14ac:dyDescent="0.2">
      <c r="A35" t="s">
        <v>28</v>
      </c>
      <c r="B35" t="s">
        <v>62</v>
      </c>
      <c r="C35" t="s">
        <v>122</v>
      </c>
      <c r="D35">
        <v>14.5</v>
      </c>
      <c r="E35">
        <v>1.85</v>
      </c>
      <c r="F35" t="s">
        <v>130</v>
      </c>
      <c r="G35" t="s">
        <v>144</v>
      </c>
      <c r="H35" t="s">
        <v>147</v>
      </c>
      <c r="I35">
        <v>18.7</v>
      </c>
      <c r="J35">
        <v>95.2</v>
      </c>
      <c r="K35">
        <v>41.2</v>
      </c>
      <c r="L35">
        <v>0.76100000000000001</v>
      </c>
      <c r="M35">
        <v>0.84</v>
      </c>
      <c r="N35">
        <v>28.7</v>
      </c>
      <c r="O35">
        <v>9.5</v>
      </c>
      <c r="P35">
        <v>50</v>
      </c>
      <c r="Q35">
        <v>-50</v>
      </c>
      <c r="R35" t="str">
        <f t="shared" si="1"/>
        <v>LOSE</v>
      </c>
    </row>
    <row r="36" spans="1:18" x14ac:dyDescent="0.2">
      <c r="A36" t="s">
        <v>25</v>
      </c>
      <c r="B36" t="s">
        <v>63</v>
      </c>
      <c r="C36" t="s">
        <v>122</v>
      </c>
      <c r="D36">
        <v>18.5</v>
      </c>
      <c r="E36">
        <v>1.89</v>
      </c>
      <c r="F36" t="s">
        <v>131</v>
      </c>
      <c r="G36" t="s">
        <v>141</v>
      </c>
      <c r="H36" t="s">
        <v>147</v>
      </c>
      <c r="I36">
        <v>23.3</v>
      </c>
      <c r="J36">
        <v>93</v>
      </c>
      <c r="K36">
        <v>40.1</v>
      </c>
      <c r="L36">
        <v>0.75700000000000001</v>
      </c>
      <c r="M36">
        <v>0.77</v>
      </c>
      <c r="N36">
        <v>25.7</v>
      </c>
      <c r="O36">
        <v>2</v>
      </c>
      <c r="P36">
        <v>0</v>
      </c>
      <c r="Q36">
        <f t="shared" si="0"/>
        <v>0</v>
      </c>
    </row>
    <row r="37" spans="1:18" x14ac:dyDescent="0.2">
      <c r="A37" t="s">
        <v>27</v>
      </c>
      <c r="B37" t="s">
        <v>64</v>
      </c>
      <c r="C37" t="s">
        <v>123</v>
      </c>
      <c r="D37">
        <v>5.5</v>
      </c>
      <c r="E37">
        <v>1.77</v>
      </c>
      <c r="F37" t="s">
        <v>129</v>
      </c>
      <c r="G37" t="s">
        <v>143</v>
      </c>
      <c r="H37" t="s">
        <v>147</v>
      </c>
      <c r="I37">
        <v>8</v>
      </c>
      <c r="J37">
        <v>98.7</v>
      </c>
      <c r="K37">
        <v>42.2</v>
      </c>
      <c r="L37">
        <v>0.747</v>
      </c>
      <c r="M37">
        <v>0.95</v>
      </c>
      <c r="N37">
        <v>44.5</v>
      </c>
      <c r="O37">
        <v>9</v>
      </c>
      <c r="P37">
        <v>50</v>
      </c>
      <c r="Q37">
        <v>-50</v>
      </c>
      <c r="R37" t="str">
        <f t="shared" si="1"/>
        <v>LOSE</v>
      </c>
    </row>
    <row r="38" spans="1:18" x14ac:dyDescent="0.2">
      <c r="A38" t="s">
        <v>16</v>
      </c>
      <c r="B38" t="s">
        <v>65</v>
      </c>
      <c r="C38" t="s">
        <v>122</v>
      </c>
      <c r="D38">
        <v>13.5</v>
      </c>
      <c r="E38">
        <v>1.88</v>
      </c>
      <c r="F38" t="s">
        <v>131</v>
      </c>
      <c r="G38" t="s">
        <v>132</v>
      </c>
      <c r="H38" t="s">
        <v>147</v>
      </c>
      <c r="I38">
        <v>16.3</v>
      </c>
      <c r="J38">
        <v>92.5</v>
      </c>
      <c r="K38">
        <v>39.299999999999997</v>
      </c>
      <c r="L38">
        <v>0.74</v>
      </c>
      <c r="M38">
        <v>0.95</v>
      </c>
      <c r="N38">
        <v>20.5</v>
      </c>
      <c r="O38">
        <v>8</v>
      </c>
      <c r="P38">
        <v>50</v>
      </c>
      <c r="Q38">
        <v>-50</v>
      </c>
      <c r="R38" t="str">
        <f t="shared" si="1"/>
        <v>LOSE</v>
      </c>
    </row>
    <row r="39" spans="1:18" x14ac:dyDescent="0.2">
      <c r="A39" t="s">
        <v>23</v>
      </c>
      <c r="B39" t="s">
        <v>66</v>
      </c>
      <c r="C39" t="s">
        <v>122</v>
      </c>
      <c r="D39">
        <v>11.5</v>
      </c>
      <c r="E39">
        <v>2</v>
      </c>
      <c r="F39" t="s">
        <v>125</v>
      </c>
      <c r="G39" t="s">
        <v>139</v>
      </c>
      <c r="H39" t="s">
        <v>147</v>
      </c>
      <c r="I39">
        <v>14.6</v>
      </c>
      <c r="J39">
        <v>86.9</v>
      </c>
      <c r="K39">
        <v>36.9</v>
      </c>
      <c r="L39">
        <v>0.73899999999999999</v>
      </c>
      <c r="M39">
        <v>0.85</v>
      </c>
      <c r="N39">
        <v>26.5</v>
      </c>
      <c r="O39">
        <v>7</v>
      </c>
      <c r="P39">
        <v>50</v>
      </c>
      <c r="Q39">
        <v>-50</v>
      </c>
      <c r="R39" t="str">
        <f t="shared" si="1"/>
        <v>LOSE</v>
      </c>
    </row>
    <row r="40" spans="1:18" x14ac:dyDescent="0.2">
      <c r="A40" t="s">
        <v>29</v>
      </c>
      <c r="B40" t="s">
        <v>67</v>
      </c>
      <c r="C40" t="s">
        <v>123</v>
      </c>
      <c r="D40">
        <v>4.5</v>
      </c>
      <c r="E40">
        <v>1.95</v>
      </c>
      <c r="F40" t="s">
        <v>129</v>
      </c>
      <c r="G40" t="s">
        <v>145</v>
      </c>
      <c r="H40" t="s">
        <v>147</v>
      </c>
      <c r="I40">
        <v>5.7</v>
      </c>
      <c r="J40">
        <v>89.1</v>
      </c>
      <c r="K40">
        <v>37.9</v>
      </c>
      <c r="L40">
        <v>0.73799999999999999</v>
      </c>
      <c r="M40">
        <v>0.91</v>
      </c>
      <c r="N40">
        <v>27.1</v>
      </c>
      <c r="O40">
        <v>5.5</v>
      </c>
      <c r="P40">
        <v>50</v>
      </c>
      <c r="Q40">
        <v>-50</v>
      </c>
      <c r="R40" t="str">
        <f t="shared" si="1"/>
        <v>LOSE</v>
      </c>
    </row>
    <row r="41" spans="1:18" x14ac:dyDescent="0.2">
      <c r="A41" t="s">
        <v>23</v>
      </c>
      <c r="B41" t="s">
        <v>68</v>
      </c>
      <c r="C41" t="s">
        <v>122</v>
      </c>
      <c r="D41">
        <v>13.5</v>
      </c>
      <c r="E41">
        <v>2</v>
      </c>
      <c r="F41" t="s">
        <v>125</v>
      </c>
      <c r="G41" t="s">
        <v>139</v>
      </c>
      <c r="H41" t="s">
        <v>147</v>
      </c>
      <c r="I41">
        <v>16</v>
      </c>
      <c r="J41">
        <v>86.6</v>
      </c>
      <c r="K41">
        <v>36.6</v>
      </c>
      <c r="L41">
        <v>0.73299999999999998</v>
      </c>
      <c r="M41">
        <v>0.88</v>
      </c>
      <c r="N41">
        <v>18.8</v>
      </c>
      <c r="O41">
        <v>7</v>
      </c>
      <c r="P41">
        <v>50</v>
      </c>
      <c r="Q41">
        <f t="shared" si="0"/>
        <v>50</v>
      </c>
      <c r="R41" t="str">
        <f t="shared" si="1"/>
        <v>WIN</v>
      </c>
    </row>
    <row r="42" spans="1:18" x14ac:dyDescent="0.2">
      <c r="A42" t="s">
        <v>19</v>
      </c>
      <c r="B42" t="s">
        <v>69</v>
      </c>
      <c r="C42" t="s">
        <v>124</v>
      </c>
      <c r="D42">
        <v>3.5</v>
      </c>
      <c r="E42">
        <v>1.74</v>
      </c>
      <c r="F42" t="s">
        <v>129</v>
      </c>
      <c r="G42" t="s">
        <v>135</v>
      </c>
      <c r="H42" t="s">
        <v>147</v>
      </c>
      <c r="I42">
        <v>5.8</v>
      </c>
      <c r="J42">
        <v>99.4</v>
      </c>
      <c r="K42">
        <v>41.9</v>
      </c>
      <c r="L42">
        <v>0.73</v>
      </c>
      <c r="M42">
        <v>0.78</v>
      </c>
      <c r="N42">
        <v>66.599999999999994</v>
      </c>
      <c r="O42">
        <v>3.5</v>
      </c>
      <c r="P42">
        <v>50</v>
      </c>
      <c r="Q42">
        <v>-50</v>
      </c>
      <c r="R42" t="str">
        <f t="shared" si="1"/>
        <v>LOSE</v>
      </c>
    </row>
    <row r="43" spans="1:18" x14ac:dyDescent="0.2">
      <c r="A43" t="s">
        <v>25</v>
      </c>
      <c r="B43" t="s">
        <v>70</v>
      </c>
      <c r="C43" t="s">
        <v>123</v>
      </c>
      <c r="D43">
        <v>4.5</v>
      </c>
      <c r="E43">
        <v>1.83</v>
      </c>
      <c r="F43" t="s">
        <v>129</v>
      </c>
      <c r="G43" t="s">
        <v>141</v>
      </c>
      <c r="H43" t="s">
        <v>146</v>
      </c>
      <c r="I43">
        <v>3.4</v>
      </c>
      <c r="J43">
        <v>94.1</v>
      </c>
      <c r="K43">
        <v>39.4</v>
      </c>
      <c r="L43">
        <v>0.72099999999999997</v>
      </c>
      <c r="M43">
        <v>0.78</v>
      </c>
      <c r="N43">
        <v>-24.7</v>
      </c>
      <c r="O43">
        <v>2</v>
      </c>
      <c r="P43">
        <v>50</v>
      </c>
      <c r="Q43">
        <f t="shared" si="0"/>
        <v>41.5</v>
      </c>
      <c r="R43" t="str">
        <f t="shared" si="1"/>
        <v>WIN</v>
      </c>
    </row>
    <row r="44" spans="1:18" x14ac:dyDescent="0.2">
      <c r="A44" t="s">
        <v>29</v>
      </c>
      <c r="B44" t="s">
        <v>67</v>
      </c>
      <c r="C44" t="s">
        <v>122</v>
      </c>
      <c r="D44">
        <v>19.5</v>
      </c>
      <c r="E44">
        <v>1.98</v>
      </c>
      <c r="F44" t="s">
        <v>131</v>
      </c>
      <c r="G44" t="s">
        <v>145</v>
      </c>
      <c r="H44" t="s">
        <v>147</v>
      </c>
      <c r="I44">
        <v>22.2</v>
      </c>
      <c r="J44">
        <v>86.9</v>
      </c>
      <c r="K44">
        <v>36.4</v>
      </c>
      <c r="L44">
        <v>0.72099999999999997</v>
      </c>
      <c r="M44">
        <v>0.95</v>
      </c>
      <c r="N44">
        <v>13.8</v>
      </c>
      <c r="O44">
        <v>5.5</v>
      </c>
      <c r="P44">
        <v>50</v>
      </c>
      <c r="Q44">
        <f t="shared" si="0"/>
        <v>49</v>
      </c>
      <c r="R44" t="str">
        <f t="shared" si="1"/>
        <v>WIN</v>
      </c>
    </row>
    <row r="45" spans="1:18" x14ac:dyDescent="0.2">
      <c r="A45" t="s">
        <v>17</v>
      </c>
      <c r="B45" t="s">
        <v>49</v>
      </c>
      <c r="C45" t="s">
        <v>124</v>
      </c>
      <c r="D45">
        <v>3.5</v>
      </c>
      <c r="E45">
        <v>1.81</v>
      </c>
      <c r="F45" t="s">
        <v>127</v>
      </c>
      <c r="G45" t="s">
        <v>133</v>
      </c>
      <c r="H45" t="s">
        <v>147</v>
      </c>
      <c r="I45">
        <v>5</v>
      </c>
      <c r="J45">
        <v>94.8</v>
      </c>
      <c r="K45">
        <v>39.6</v>
      </c>
      <c r="L45">
        <v>0.71599999999999997</v>
      </c>
      <c r="M45">
        <v>0.79</v>
      </c>
      <c r="N45">
        <v>41.7</v>
      </c>
      <c r="O45">
        <v>9.5</v>
      </c>
      <c r="P45">
        <v>0</v>
      </c>
      <c r="Q45">
        <f t="shared" si="0"/>
        <v>0</v>
      </c>
    </row>
    <row r="46" spans="1:18" x14ac:dyDescent="0.2">
      <c r="A46" t="s">
        <v>20</v>
      </c>
      <c r="B46" t="s">
        <v>71</v>
      </c>
      <c r="C46" t="s">
        <v>122</v>
      </c>
      <c r="D46">
        <v>16.5</v>
      </c>
      <c r="E46">
        <v>1.94</v>
      </c>
      <c r="F46" t="s">
        <v>131</v>
      </c>
      <c r="G46" t="s">
        <v>136</v>
      </c>
      <c r="H46" t="s">
        <v>147</v>
      </c>
      <c r="I46">
        <v>19.2</v>
      </c>
      <c r="J46">
        <v>87.7</v>
      </c>
      <c r="K46">
        <v>36.1</v>
      </c>
      <c r="L46">
        <v>0.7</v>
      </c>
      <c r="M46">
        <v>0.87</v>
      </c>
      <c r="N46">
        <v>16.600000000000001</v>
      </c>
      <c r="O46">
        <v>8</v>
      </c>
      <c r="P46">
        <v>50</v>
      </c>
      <c r="Q46">
        <f t="shared" si="0"/>
        <v>47</v>
      </c>
      <c r="R46" t="str">
        <f t="shared" si="1"/>
        <v>WIN</v>
      </c>
    </row>
    <row r="47" spans="1:18" x14ac:dyDescent="0.2">
      <c r="A47" t="s">
        <v>27</v>
      </c>
      <c r="B47" t="s">
        <v>72</v>
      </c>
      <c r="C47" t="s">
        <v>124</v>
      </c>
      <c r="D47">
        <v>3.5</v>
      </c>
      <c r="E47">
        <v>2</v>
      </c>
      <c r="F47" t="s">
        <v>125</v>
      </c>
      <c r="G47" t="s">
        <v>143</v>
      </c>
      <c r="H47" t="s">
        <v>147</v>
      </c>
      <c r="I47">
        <v>4.2</v>
      </c>
      <c r="J47">
        <v>84.5</v>
      </c>
      <c r="K47">
        <v>34.5</v>
      </c>
      <c r="L47">
        <v>0.69099999999999995</v>
      </c>
      <c r="M47">
        <v>0.95</v>
      </c>
      <c r="N47">
        <v>19.399999999999999</v>
      </c>
      <c r="O47">
        <v>9</v>
      </c>
      <c r="P47">
        <v>50</v>
      </c>
      <c r="Q47">
        <f t="shared" si="0"/>
        <v>50</v>
      </c>
      <c r="R47" t="str">
        <f t="shared" si="1"/>
        <v>WIN</v>
      </c>
    </row>
    <row r="48" spans="1:18" x14ac:dyDescent="0.2">
      <c r="A48" t="s">
        <v>24</v>
      </c>
      <c r="B48" t="s">
        <v>73</v>
      </c>
      <c r="C48" t="s">
        <v>122</v>
      </c>
      <c r="D48">
        <v>9.5</v>
      </c>
      <c r="E48">
        <v>1.83</v>
      </c>
      <c r="F48" t="s">
        <v>128</v>
      </c>
      <c r="G48" t="s">
        <v>140</v>
      </c>
      <c r="H48" t="s">
        <v>147</v>
      </c>
      <c r="I48">
        <v>11.6</v>
      </c>
      <c r="J48">
        <v>92.2</v>
      </c>
      <c r="K48">
        <v>37.6</v>
      </c>
      <c r="L48">
        <v>0.68799999999999994</v>
      </c>
      <c r="M48">
        <v>0.9</v>
      </c>
      <c r="N48">
        <v>22</v>
      </c>
      <c r="O48">
        <v>4</v>
      </c>
      <c r="P48">
        <v>50</v>
      </c>
      <c r="Q48">
        <v>-50</v>
      </c>
      <c r="R48" t="str">
        <f t="shared" si="1"/>
        <v>LOSE</v>
      </c>
    </row>
    <row r="49" spans="1:18" x14ac:dyDescent="0.2">
      <c r="A49" t="s">
        <v>24</v>
      </c>
      <c r="B49" t="s">
        <v>74</v>
      </c>
      <c r="C49" t="s">
        <v>124</v>
      </c>
      <c r="D49">
        <v>8.5</v>
      </c>
      <c r="E49">
        <v>1.85</v>
      </c>
      <c r="F49" t="s">
        <v>129</v>
      </c>
      <c r="G49" t="s">
        <v>140</v>
      </c>
      <c r="H49" t="s">
        <v>147</v>
      </c>
      <c r="I49">
        <v>10.1</v>
      </c>
      <c r="J49">
        <v>91.2</v>
      </c>
      <c r="K49">
        <v>37.200000000000003</v>
      </c>
      <c r="L49">
        <v>0.68799999999999994</v>
      </c>
      <c r="M49">
        <v>0.86</v>
      </c>
      <c r="N49">
        <v>18.399999999999999</v>
      </c>
      <c r="O49">
        <v>4</v>
      </c>
      <c r="P49">
        <v>50</v>
      </c>
      <c r="Q49">
        <f t="shared" si="0"/>
        <v>42.5</v>
      </c>
      <c r="R49" t="str">
        <f t="shared" si="1"/>
        <v>WIN</v>
      </c>
    </row>
    <row r="50" spans="1:18" x14ac:dyDescent="0.2">
      <c r="A50" t="s">
        <v>25</v>
      </c>
      <c r="B50" t="s">
        <v>75</v>
      </c>
      <c r="C50" t="s">
        <v>122</v>
      </c>
      <c r="D50">
        <v>24.5</v>
      </c>
      <c r="E50">
        <v>1.83</v>
      </c>
      <c r="F50" t="s">
        <v>131</v>
      </c>
      <c r="G50" t="s">
        <v>141</v>
      </c>
      <c r="H50" t="s">
        <v>147</v>
      </c>
      <c r="I50">
        <v>28.8</v>
      </c>
      <c r="J50">
        <v>92.2</v>
      </c>
      <c r="K50">
        <v>37.6</v>
      </c>
      <c r="L50">
        <v>0.68799999999999994</v>
      </c>
      <c r="M50">
        <v>0.76</v>
      </c>
      <c r="N50">
        <v>17.399999999999999</v>
      </c>
      <c r="O50">
        <v>2</v>
      </c>
      <c r="P50">
        <v>50</v>
      </c>
      <c r="Q50">
        <f t="shared" si="0"/>
        <v>41.5</v>
      </c>
      <c r="R50" t="str">
        <f t="shared" si="1"/>
        <v>WIN</v>
      </c>
    </row>
    <row r="51" spans="1:18" x14ac:dyDescent="0.2">
      <c r="A51" t="s">
        <v>28</v>
      </c>
      <c r="B51" t="s">
        <v>76</v>
      </c>
      <c r="C51" t="s">
        <v>122</v>
      </c>
      <c r="D51">
        <v>13.5</v>
      </c>
      <c r="E51">
        <v>1.96</v>
      </c>
      <c r="F51" t="s">
        <v>126</v>
      </c>
      <c r="G51" t="s">
        <v>144</v>
      </c>
      <c r="H51" t="s">
        <v>147</v>
      </c>
      <c r="I51">
        <v>16.399999999999999</v>
      </c>
      <c r="J51">
        <v>86</v>
      </c>
      <c r="K51">
        <v>34.9</v>
      </c>
      <c r="L51">
        <v>0.68500000000000005</v>
      </c>
      <c r="M51">
        <v>0.76</v>
      </c>
      <c r="N51">
        <v>21.2</v>
      </c>
      <c r="O51">
        <v>9.5</v>
      </c>
      <c r="P51">
        <v>50</v>
      </c>
      <c r="Q51">
        <v>-50</v>
      </c>
      <c r="R51" t="str">
        <f t="shared" si="1"/>
        <v>LOSE</v>
      </c>
    </row>
    <row r="52" spans="1:18" x14ac:dyDescent="0.2">
      <c r="A52" t="s">
        <v>22</v>
      </c>
      <c r="B52" t="s">
        <v>60</v>
      </c>
      <c r="C52" t="s">
        <v>122</v>
      </c>
      <c r="D52">
        <v>8.5</v>
      </c>
      <c r="E52">
        <v>1.86</v>
      </c>
      <c r="F52" t="s">
        <v>127</v>
      </c>
      <c r="G52" t="s">
        <v>138</v>
      </c>
      <c r="H52" t="s">
        <v>147</v>
      </c>
      <c r="I52">
        <v>11.5</v>
      </c>
      <c r="J52">
        <v>90.6</v>
      </c>
      <c r="K52">
        <v>36.799999999999997</v>
      </c>
      <c r="L52">
        <v>0.68500000000000005</v>
      </c>
      <c r="M52">
        <v>0.86</v>
      </c>
      <c r="N52">
        <v>35.6</v>
      </c>
      <c r="O52">
        <v>5.5</v>
      </c>
      <c r="P52">
        <v>50</v>
      </c>
      <c r="Q52">
        <v>-50</v>
      </c>
      <c r="R52" t="str">
        <f t="shared" si="1"/>
        <v>LOSE</v>
      </c>
    </row>
    <row r="53" spans="1:18" x14ac:dyDescent="0.2">
      <c r="A53" t="s">
        <v>21</v>
      </c>
      <c r="B53" t="s">
        <v>77</v>
      </c>
      <c r="C53" t="s">
        <v>122</v>
      </c>
      <c r="D53">
        <v>8.5</v>
      </c>
      <c r="E53">
        <v>2.1</v>
      </c>
      <c r="F53" t="s">
        <v>125</v>
      </c>
      <c r="G53" t="s">
        <v>137</v>
      </c>
      <c r="H53" t="s">
        <v>147</v>
      </c>
      <c r="I53">
        <v>10.199999999999999</v>
      </c>
      <c r="J53">
        <v>80</v>
      </c>
      <c r="K53">
        <v>32.4</v>
      </c>
      <c r="L53">
        <v>0.68100000000000005</v>
      </c>
      <c r="M53">
        <v>0.78</v>
      </c>
      <c r="N53">
        <v>19.5</v>
      </c>
      <c r="O53">
        <v>1.5</v>
      </c>
      <c r="P53">
        <v>50</v>
      </c>
      <c r="Q53">
        <f t="shared" si="0"/>
        <v>55</v>
      </c>
      <c r="R53" t="str">
        <f t="shared" si="1"/>
        <v>WIN</v>
      </c>
    </row>
    <row r="54" spans="1:18" x14ac:dyDescent="0.2">
      <c r="A54" t="s">
        <v>24</v>
      </c>
      <c r="B54" t="s">
        <v>78</v>
      </c>
      <c r="C54" t="s">
        <v>124</v>
      </c>
      <c r="D54">
        <v>3.5</v>
      </c>
      <c r="E54">
        <v>1.7</v>
      </c>
      <c r="F54" t="s">
        <v>128</v>
      </c>
      <c r="G54" t="s">
        <v>140</v>
      </c>
      <c r="H54" t="s">
        <v>147</v>
      </c>
      <c r="I54">
        <v>5</v>
      </c>
      <c r="J54">
        <v>98.4</v>
      </c>
      <c r="K54">
        <v>39.5</v>
      </c>
      <c r="L54">
        <v>0.67200000000000004</v>
      </c>
      <c r="M54">
        <v>0.95</v>
      </c>
      <c r="N54">
        <v>43.7</v>
      </c>
      <c r="O54">
        <v>4</v>
      </c>
      <c r="P54">
        <v>50</v>
      </c>
      <c r="Q54">
        <f t="shared" si="0"/>
        <v>35</v>
      </c>
      <c r="R54" t="str">
        <f t="shared" si="1"/>
        <v>WIN</v>
      </c>
    </row>
    <row r="55" spans="1:18" x14ac:dyDescent="0.2">
      <c r="A55" t="s">
        <v>19</v>
      </c>
      <c r="B55" t="s">
        <v>33</v>
      </c>
      <c r="C55" t="s">
        <v>122</v>
      </c>
      <c r="D55">
        <v>17.5</v>
      </c>
      <c r="E55">
        <v>1.91</v>
      </c>
      <c r="F55" t="s">
        <v>125</v>
      </c>
      <c r="G55" t="s">
        <v>135</v>
      </c>
      <c r="H55" t="s">
        <v>146</v>
      </c>
      <c r="I55">
        <v>15</v>
      </c>
      <c r="J55">
        <v>87.6</v>
      </c>
      <c r="K55">
        <v>35.200000000000003</v>
      </c>
      <c r="L55">
        <v>0.67200000000000004</v>
      </c>
      <c r="M55">
        <v>0.86</v>
      </c>
      <c r="N55">
        <v>-14.1</v>
      </c>
      <c r="O55">
        <v>3.5</v>
      </c>
      <c r="P55">
        <v>50</v>
      </c>
      <c r="Q55">
        <f t="shared" si="0"/>
        <v>45.5</v>
      </c>
      <c r="R55" t="str">
        <f t="shared" si="1"/>
        <v>WIN</v>
      </c>
    </row>
    <row r="56" spans="1:18" x14ac:dyDescent="0.2">
      <c r="A56" t="s">
        <v>27</v>
      </c>
      <c r="B56" t="s">
        <v>79</v>
      </c>
      <c r="C56" t="s">
        <v>122</v>
      </c>
      <c r="D56">
        <v>6.5</v>
      </c>
      <c r="E56">
        <v>2.1</v>
      </c>
      <c r="F56" t="s">
        <v>128</v>
      </c>
      <c r="G56" t="s">
        <v>143</v>
      </c>
      <c r="H56" t="s">
        <v>147</v>
      </c>
      <c r="I56">
        <v>7.7</v>
      </c>
      <c r="J56">
        <v>78.599999999999994</v>
      </c>
      <c r="K56">
        <v>31</v>
      </c>
      <c r="L56">
        <v>0.65200000000000002</v>
      </c>
      <c r="M56">
        <v>0.89</v>
      </c>
      <c r="N56">
        <v>18.899999999999999</v>
      </c>
      <c r="O56">
        <v>9</v>
      </c>
      <c r="P56">
        <v>50</v>
      </c>
      <c r="Q56">
        <f t="shared" si="0"/>
        <v>55</v>
      </c>
      <c r="R56" t="str">
        <f t="shared" si="1"/>
        <v>WIN</v>
      </c>
    </row>
    <row r="57" spans="1:18" x14ac:dyDescent="0.2">
      <c r="A57" t="s">
        <v>19</v>
      </c>
      <c r="B57" t="s">
        <v>61</v>
      </c>
      <c r="C57" t="s">
        <v>122</v>
      </c>
      <c r="D57">
        <v>25.5</v>
      </c>
      <c r="E57">
        <v>2.1</v>
      </c>
      <c r="F57" t="s">
        <v>125</v>
      </c>
      <c r="G57" t="s">
        <v>135</v>
      </c>
      <c r="H57" t="s">
        <v>147</v>
      </c>
      <c r="I57">
        <v>28.3</v>
      </c>
      <c r="J57">
        <v>78.599999999999994</v>
      </c>
      <c r="K57">
        <v>31</v>
      </c>
      <c r="L57">
        <v>0.65100000000000002</v>
      </c>
      <c r="M57">
        <v>0.82</v>
      </c>
      <c r="N57">
        <v>11</v>
      </c>
      <c r="O57">
        <v>3.5</v>
      </c>
      <c r="P57">
        <v>50</v>
      </c>
      <c r="Q57">
        <v>-50</v>
      </c>
      <c r="R57" t="str">
        <f t="shared" si="1"/>
        <v>LOSE</v>
      </c>
    </row>
    <row r="58" spans="1:18" x14ac:dyDescent="0.2">
      <c r="A58" t="s">
        <v>29</v>
      </c>
      <c r="B58" t="s">
        <v>80</v>
      </c>
      <c r="C58" t="s">
        <v>122</v>
      </c>
      <c r="D58">
        <v>21.5</v>
      </c>
      <c r="E58">
        <v>1.8</v>
      </c>
      <c r="F58" t="s">
        <v>126</v>
      </c>
      <c r="G58" t="s">
        <v>145</v>
      </c>
      <c r="H58" t="s">
        <v>146</v>
      </c>
      <c r="I58">
        <v>18.5</v>
      </c>
      <c r="J58">
        <v>91.4</v>
      </c>
      <c r="K58">
        <v>35.9</v>
      </c>
      <c r="L58">
        <v>0.64600000000000002</v>
      </c>
      <c r="M58">
        <v>0.95</v>
      </c>
      <c r="N58">
        <v>-14</v>
      </c>
      <c r="O58">
        <v>5.5</v>
      </c>
      <c r="P58">
        <v>50</v>
      </c>
      <c r="Q58">
        <f t="shared" si="0"/>
        <v>40</v>
      </c>
      <c r="R58" t="str">
        <f t="shared" si="1"/>
        <v>WIN</v>
      </c>
    </row>
    <row r="59" spans="1:18" x14ac:dyDescent="0.2">
      <c r="A59" t="s">
        <v>26</v>
      </c>
      <c r="B59" t="s">
        <v>81</v>
      </c>
      <c r="C59" t="s">
        <v>122</v>
      </c>
      <c r="D59">
        <v>21.5</v>
      </c>
      <c r="E59">
        <v>1.88</v>
      </c>
      <c r="F59" t="s">
        <v>131</v>
      </c>
      <c r="G59" t="s">
        <v>142</v>
      </c>
      <c r="H59" t="s">
        <v>146</v>
      </c>
      <c r="I59">
        <v>19.3</v>
      </c>
      <c r="J59">
        <v>87.5</v>
      </c>
      <c r="K59">
        <v>34.299999999999997</v>
      </c>
      <c r="L59">
        <v>0.64500000000000002</v>
      </c>
      <c r="M59">
        <v>0.95</v>
      </c>
      <c r="N59">
        <v>-10.199999999999999</v>
      </c>
      <c r="O59">
        <v>5.5</v>
      </c>
      <c r="P59">
        <v>50</v>
      </c>
      <c r="Q59">
        <v>-50</v>
      </c>
      <c r="R59" t="str">
        <f t="shared" si="1"/>
        <v>LOSE</v>
      </c>
    </row>
    <row r="60" spans="1:18" x14ac:dyDescent="0.2">
      <c r="A60" t="s">
        <v>22</v>
      </c>
      <c r="B60" t="s">
        <v>82</v>
      </c>
      <c r="C60" t="s">
        <v>122</v>
      </c>
      <c r="D60">
        <v>6.5</v>
      </c>
      <c r="E60">
        <v>1.96</v>
      </c>
      <c r="F60" t="s">
        <v>131</v>
      </c>
      <c r="G60" t="s">
        <v>138</v>
      </c>
      <c r="H60" t="s">
        <v>147</v>
      </c>
      <c r="I60">
        <v>8.1</v>
      </c>
      <c r="J60">
        <v>83.7</v>
      </c>
      <c r="K60">
        <v>32.700000000000003</v>
      </c>
      <c r="L60">
        <v>0.64</v>
      </c>
      <c r="M60">
        <v>0.94</v>
      </c>
      <c r="N60">
        <v>24.5</v>
      </c>
      <c r="O60">
        <v>5.5</v>
      </c>
      <c r="P60">
        <v>50</v>
      </c>
      <c r="Q60">
        <f t="shared" si="0"/>
        <v>48</v>
      </c>
      <c r="R60" t="str">
        <f t="shared" si="1"/>
        <v>WIN</v>
      </c>
    </row>
    <row r="61" spans="1:18" x14ac:dyDescent="0.2">
      <c r="A61" t="s">
        <v>21</v>
      </c>
      <c r="B61" t="s">
        <v>83</v>
      </c>
      <c r="C61" t="s">
        <v>123</v>
      </c>
      <c r="D61">
        <v>3.5</v>
      </c>
      <c r="E61">
        <v>1.93</v>
      </c>
      <c r="F61" t="s">
        <v>128</v>
      </c>
      <c r="G61" t="s">
        <v>137</v>
      </c>
      <c r="H61" t="s">
        <v>147</v>
      </c>
      <c r="I61">
        <v>4.3</v>
      </c>
      <c r="J61">
        <v>84.9</v>
      </c>
      <c r="K61">
        <v>33.1</v>
      </c>
      <c r="L61">
        <v>0.63900000000000001</v>
      </c>
      <c r="M61">
        <v>0.92</v>
      </c>
      <c r="N61">
        <v>21.7</v>
      </c>
      <c r="O61">
        <v>1.5</v>
      </c>
      <c r="P61">
        <v>50</v>
      </c>
      <c r="Q61">
        <v>-50</v>
      </c>
      <c r="R61" t="str">
        <f t="shared" si="1"/>
        <v>LOSE</v>
      </c>
    </row>
    <row r="62" spans="1:18" x14ac:dyDescent="0.2">
      <c r="A62" t="s">
        <v>22</v>
      </c>
      <c r="B62" t="s">
        <v>84</v>
      </c>
      <c r="C62" t="s">
        <v>122</v>
      </c>
      <c r="D62">
        <v>19.5</v>
      </c>
      <c r="E62">
        <v>2</v>
      </c>
      <c r="F62" t="s">
        <v>125</v>
      </c>
      <c r="G62" t="s">
        <v>138</v>
      </c>
      <c r="H62" t="s">
        <v>147</v>
      </c>
      <c r="I62">
        <v>21.9</v>
      </c>
      <c r="J62">
        <v>81.3</v>
      </c>
      <c r="K62">
        <v>31.3</v>
      </c>
      <c r="L62">
        <v>0.627</v>
      </c>
      <c r="M62">
        <v>0.89</v>
      </c>
      <c r="N62">
        <v>12.2</v>
      </c>
      <c r="O62">
        <v>5.5</v>
      </c>
      <c r="P62">
        <v>50</v>
      </c>
      <c r="Q62">
        <v>-50</v>
      </c>
      <c r="R62" t="str">
        <f t="shared" si="1"/>
        <v>LOSE</v>
      </c>
    </row>
    <row r="63" spans="1:18" x14ac:dyDescent="0.2">
      <c r="A63" t="s">
        <v>25</v>
      </c>
      <c r="B63" t="s">
        <v>85</v>
      </c>
      <c r="C63" t="s">
        <v>122</v>
      </c>
      <c r="D63">
        <v>22.5</v>
      </c>
      <c r="E63">
        <v>1.74</v>
      </c>
      <c r="F63" t="s">
        <v>125</v>
      </c>
      <c r="G63" t="s">
        <v>141</v>
      </c>
      <c r="H63" t="s">
        <v>147</v>
      </c>
      <c r="I63">
        <v>25.8</v>
      </c>
      <c r="J63">
        <v>92.3</v>
      </c>
      <c r="K63">
        <v>34.9</v>
      </c>
      <c r="L63">
        <v>0.60699999999999998</v>
      </c>
      <c r="M63">
        <v>0.95</v>
      </c>
      <c r="N63">
        <v>14.8</v>
      </c>
      <c r="O63">
        <v>2</v>
      </c>
      <c r="P63">
        <v>50</v>
      </c>
      <c r="Q63">
        <v>-50</v>
      </c>
      <c r="R63" t="str">
        <f t="shared" si="1"/>
        <v>LOSE</v>
      </c>
    </row>
    <row r="64" spans="1:18" x14ac:dyDescent="0.2">
      <c r="A64" t="s">
        <v>24</v>
      </c>
      <c r="B64" t="s">
        <v>86</v>
      </c>
      <c r="C64" t="s">
        <v>122</v>
      </c>
      <c r="D64">
        <v>10.5</v>
      </c>
      <c r="E64">
        <v>2.02</v>
      </c>
      <c r="F64" t="s">
        <v>126</v>
      </c>
      <c r="G64" t="s">
        <v>140</v>
      </c>
      <c r="H64" t="s">
        <v>147</v>
      </c>
      <c r="I64">
        <v>12.3</v>
      </c>
      <c r="J64">
        <v>79.5</v>
      </c>
      <c r="K64">
        <v>29.9</v>
      </c>
      <c r="L64">
        <v>0.60499999999999998</v>
      </c>
      <c r="M64">
        <v>0.8</v>
      </c>
      <c r="N64">
        <v>16.8</v>
      </c>
      <c r="O64">
        <v>4</v>
      </c>
      <c r="P64">
        <v>50</v>
      </c>
      <c r="Q64">
        <v>-50</v>
      </c>
      <c r="R64" t="str">
        <f t="shared" si="1"/>
        <v>LOSE</v>
      </c>
    </row>
    <row r="65" spans="1:18" x14ac:dyDescent="0.2">
      <c r="A65" t="s">
        <v>18</v>
      </c>
      <c r="B65" t="s">
        <v>87</v>
      </c>
      <c r="C65" t="s">
        <v>124</v>
      </c>
      <c r="D65">
        <v>0.5</v>
      </c>
      <c r="E65">
        <v>1.74</v>
      </c>
      <c r="F65" t="s">
        <v>129</v>
      </c>
      <c r="G65" t="s">
        <v>134</v>
      </c>
      <c r="H65" t="s">
        <v>147</v>
      </c>
      <c r="I65">
        <v>1</v>
      </c>
      <c r="J65">
        <v>91.5</v>
      </c>
      <c r="K65">
        <v>34</v>
      </c>
      <c r="L65">
        <v>0.59199999999999997</v>
      </c>
      <c r="M65">
        <v>0.82</v>
      </c>
      <c r="N65">
        <v>90</v>
      </c>
      <c r="O65">
        <v>5.5</v>
      </c>
      <c r="P65">
        <v>50</v>
      </c>
      <c r="Q65">
        <v>-50</v>
      </c>
      <c r="R65" t="str">
        <f t="shared" si="1"/>
        <v>LOSE</v>
      </c>
    </row>
    <row r="66" spans="1:18" x14ac:dyDescent="0.2">
      <c r="A66" t="s">
        <v>24</v>
      </c>
      <c r="B66" t="s">
        <v>88</v>
      </c>
      <c r="C66" t="s">
        <v>122</v>
      </c>
      <c r="D66">
        <v>17.5</v>
      </c>
      <c r="E66">
        <v>1.81</v>
      </c>
      <c r="F66" t="s">
        <v>127</v>
      </c>
      <c r="G66" t="s">
        <v>140</v>
      </c>
      <c r="H66" t="s">
        <v>147</v>
      </c>
      <c r="I66">
        <v>20.6</v>
      </c>
      <c r="J66">
        <v>87.8</v>
      </c>
      <c r="K66">
        <v>32.6</v>
      </c>
      <c r="L66">
        <v>0.59</v>
      </c>
      <c r="M66">
        <v>0.88</v>
      </c>
      <c r="N66">
        <v>17.5</v>
      </c>
      <c r="O66">
        <v>4</v>
      </c>
      <c r="P66">
        <v>50</v>
      </c>
      <c r="Q66">
        <f t="shared" si="0"/>
        <v>40.5</v>
      </c>
      <c r="R66" t="str">
        <f t="shared" si="1"/>
        <v>WIN</v>
      </c>
    </row>
    <row r="67" spans="1:18" x14ac:dyDescent="0.2">
      <c r="A67" t="s">
        <v>17</v>
      </c>
      <c r="B67" t="s">
        <v>89</v>
      </c>
      <c r="C67" t="s">
        <v>122</v>
      </c>
      <c r="D67">
        <v>14.5</v>
      </c>
      <c r="E67">
        <v>2</v>
      </c>
      <c r="F67" t="s">
        <v>130</v>
      </c>
      <c r="G67" t="s">
        <v>133</v>
      </c>
      <c r="H67" t="s">
        <v>147</v>
      </c>
      <c r="I67">
        <v>16.7</v>
      </c>
      <c r="J67">
        <v>79.099999999999994</v>
      </c>
      <c r="K67">
        <v>29.1</v>
      </c>
      <c r="L67">
        <v>0.58299999999999996</v>
      </c>
      <c r="M67">
        <v>0.79</v>
      </c>
      <c r="N67">
        <v>15.1</v>
      </c>
      <c r="O67">
        <v>9.5</v>
      </c>
      <c r="P67">
        <v>0</v>
      </c>
      <c r="Q67">
        <f t="shared" ref="Q67:Q108" si="2">P67*E67-P67</f>
        <v>0</v>
      </c>
    </row>
    <row r="68" spans="1:18" x14ac:dyDescent="0.2">
      <c r="A68" t="s">
        <v>18</v>
      </c>
      <c r="B68" t="s">
        <v>90</v>
      </c>
      <c r="C68" t="s">
        <v>123</v>
      </c>
      <c r="D68">
        <v>5.5</v>
      </c>
      <c r="E68">
        <v>1.8</v>
      </c>
      <c r="F68" t="s">
        <v>131</v>
      </c>
      <c r="G68" t="s">
        <v>134</v>
      </c>
      <c r="H68" t="s">
        <v>147</v>
      </c>
      <c r="I68">
        <v>6.5</v>
      </c>
      <c r="J68">
        <v>87.9</v>
      </c>
      <c r="K68">
        <v>32.4</v>
      </c>
      <c r="L68">
        <v>0.58299999999999996</v>
      </c>
      <c r="M68">
        <v>0.84</v>
      </c>
      <c r="N68">
        <v>17.5</v>
      </c>
      <c r="O68">
        <v>5.5</v>
      </c>
      <c r="P68">
        <v>50</v>
      </c>
      <c r="Q68">
        <f t="shared" si="2"/>
        <v>40</v>
      </c>
      <c r="R68" t="str">
        <f t="shared" ref="R67:R108" si="3">IF(Q68=-50,"LOSE","WIN")</f>
        <v>WIN</v>
      </c>
    </row>
    <row r="69" spans="1:18" x14ac:dyDescent="0.2">
      <c r="A69" t="s">
        <v>27</v>
      </c>
      <c r="B69" t="s">
        <v>79</v>
      </c>
      <c r="C69" t="s">
        <v>124</v>
      </c>
      <c r="D69">
        <v>0.5</v>
      </c>
      <c r="E69">
        <v>1.71</v>
      </c>
      <c r="F69" t="s">
        <v>129</v>
      </c>
      <c r="G69" t="s">
        <v>143</v>
      </c>
      <c r="H69" t="s">
        <v>147</v>
      </c>
      <c r="I69">
        <v>1</v>
      </c>
      <c r="J69">
        <v>92.2</v>
      </c>
      <c r="K69">
        <v>33.700000000000003</v>
      </c>
      <c r="L69">
        <v>0.57699999999999996</v>
      </c>
      <c r="M69">
        <v>0.95</v>
      </c>
      <c r="N69">
        <v>100</v>
      </c>
      <c r="O69">
        <v>9</v>
      </c>
      <c r="P69">
        <v>50</v>
      </c>
      <c r="Q69">
        <f t="shared" si="2"/>
        <v>35.5</v>
      </c>
      <c r="R69" t="str">
        <f t="shared" si="3"/>
        <v>WIN</v>
      </c>
    </row>
    <row r="70" spans="1:18" x14ac:dyDescent="0.2">
      <c r="A70" t="s">
        <v>18</v>
      </c>
      <c r="B70" t="s">
        <v>91</v>
      </c>
      <c r="C70" t="s">
        <v>124</v>
      </c>
      <c r="D70">
        <v>5.5</v>
      </c>
      <c r="E70">
        <v>1.91</v>
      </c>
      <c r="F70" t="s">
        <v>125</v>
      </c>
      <c r="G70" t="s">
        <v>134</v>
      </c>
      <c r="H70" t="s">
        <v>147</v>
      </c>
      <c r="I70">
        <v>6.4</v>
      </c>
      <c r="J70">
        <v>82.2</v>
      </c>
      <c r="K70">
        <v>29.9</v>
      </c>
      <c r="L70">
        <v>0.57099999999999995</v>
      </c>
      <c r="M70">
        <v>0.82</v>
      </c>
      <c r="N70">
        <v>16</v>
      </c>
      <c r="O70">
        <v>5.5</v>
      </c>
      <c r="P70">
        <v>50</v>
      </c>
      <c r="Q70">
        <v>-50</v>
      </c>
      <c r="R70" t="str">
        <f t="shared" si="3"/>
        <v>LOSE</v>
      </c>
    </row>
    <row r="71" spans="1:18" x14ac:dyDescent="0.2">
      <c r="A71" t="s">
        <v>21</v>
      </c>
      <c r="B71" t="s">
        <v>92</v>
      </c>
      <c r="C71" t="s">
        <v>124</v>
      </c>
      <c r="D71">
        <v>4.5</v>
      </c>
      <c r="E71">
        <v>2.1</v>
      </c>
      <c r="F71" t="s">
        <v>129</v>
      </c>
      <c r="G71" t="s">
        <v>137</v>
      </c>
      <c r="H71" t="s">
        <v>147</v>
      </c>
      <c r="I71">
        <v>5</v>
      </c>
      <c r="J71">
        <v>74.599999999999994</v>
      </c>
      <c r="K71">
        <v>27</v>
      </c>
      <c r="L71">
        <v>0.56699999999999995</v>
      </c>
      <c r="M71">
        <v>0.95</v>
      </c>
      <c r="N71">
        <v>10.199999999999999</v>
      </c>
      <c r="O71">
        <v>1.5</v>
      </c>
      <c r="P71">
        <v>50</v>
      </c>
      <c r="Q71">
        <v>-50</v>
      </c>
      <c r="R71" t="str">
        <f t="shared" si="3"/>
        <v>LOSE</v>
      </c>
    </row>
    <row r="72" spans="1:18" x14ac:dyDescent="0.2">
      <c r="A72" t="s">
        <v>18</v>
      </c>
      <c r="B72" t="s">
        <v>93</v>
      </c>
      <c r="C72" t="s">
        <v>122</v>
      </c>
      <c r="D72">
        <v>9.5</v>
      </c>
      <c r="E72">
        <v>1.87</v>
      </c>
      <c r="F72" t="s">
        <v>129</v>
      </c>
      <c r="G72" t="s">
        <v>134</v>
      </c>
      <c r="H72" t="s">
        <v>147</v>
      </c>
      <c r="I72">
        <v>10.9</v>
      </c>
      <c r="J72">
        <v>83.2</v>
      </c>
      <c r="K72">
        <v>29.7</v>
      </c>
      <c r="L72">
        <v>0.55600000000000005</v>
      </c>
      <c r="M72">
        <v>0.89</v>
      </c>
      <c r="N72">
        <v>14.4</v>
      </c>
      <c r="O72">
        <v>5.5</v>
      </c>
      <c r="P72">
        <v>50</v>
      </c>
      <c r="Q72">
        <v>-50</v>
      </c>
      <c r="R72" t="str">
        <f t="shared" si="3"/>
        <v>LOSE</v>
      </c>
    </row>
    <row r="73" spans="1:18" x14ac:dyDescent="0.2">
      <c r="A73" t="s">
        <v>24</v>
      </c>
      <c r="B73" t="s">
        <v>94</v>
      </c>
      <c r="C73" t="s">
        <v>123</v>
      </c>
      <c r="D73">
        <v>10.5</v>
      </c>
      <c r="E73">
        <v>1.72</v>
      </c>
      <c r="F73" t="s">
        <v>130</v>
      </c>
      <c r="G73" t="s">
        <v>140</v>
      </c>
      <c r="H73" t="s">
        <v>147</v>
      </c>
      <c r="I73">
        <v>12.1</v>
      </c>
      <c r="J73">
        <v>90</v>
      </c>
      <c r="K73">
        <v>31.9</v>
      </c>
      <c r="L73">
        <v>0.54800000000000004</v>
      </c>
      <c r="M73">
        <v>0.85</v>
      </c>
      <c r="N73">
        <v>14.9</v>
      </c>
      <c r="O73">
        <v>4</v>
      </c>
      <c r="P73">
        <v>50</v>
      </c>
      <c r="Q73">
        <v>-50</v>
      </c>
      <c r="R73" t="str">
        <f t="shared" si="3"/>
        <v>LOSE</v>
      </c>
    </row>
    <row r="74" spans="1:18" x14ac:dyDescent="0.2">
      <c r="A74" t="s">
        <v>24</v>
      </c>
      <c r="B74" t="s">
        <v>95</v>
      </c>
      <c r="C74" t="s">
        <v>123</v>
      </c>
      <c r="D74">
        <v>8.5</v>
      </c>
      <c r="E74">
        <v>1.97</v>
      </c>
      <c r="F74" t="s">
        <v>130</v>
      </c>
      <c r="G74" t="s">
        <v>140</v>
      </c>
      <c r="H74" t="s">
        <v>147</v>
      </c>
      <c r="I74">
        <v>9.6</v>
      </c>
      <c r="J74">
        <v>77.7</v>
      </c>
      <c r="K74">
        <v>27</v>
      </c>
      <c r="L74">
        <v>0.53100000000000003</v>
      </c>
      <c r="M74">
        <v>0.8</v>
      </c>
      <c r="N74">
        <v>13.1</v>
      </c>
      <c r="O74">
        <v>4</v>
      </c>
      <c r="P74">
        <v>50</v>
      </c>
      <c r="Q74">
        <f t="shared" si="2"/>
        <v>48.5</v>
      </c>
      <c r="R74" t="str">
        <f t="shared" si="3"/>
        <v>WIN</v>
      </c>
    </row>
    <row r="75" spans="1:18" x14ac:dyDescent="0.2">
      <c r="A75" t="s">
        <v>21</v>
      </c>
      <c r="B75" t="s">
        <v>96</v>
      </c>
      <c r="C75" t="s">
        <v>123</v>
      </c>
      <c r="D75">
        <v>5.5</v>
      </c>
      <c r="E75">
        <v>1.88</v>
      </c>
      <c r="F75" t="s">
        <v>128</v>
      </c>
      <c r="G75" t="s">
        <v>137</v>
      </c>
      <c r="H75" t="s">
        <v>146</v>
      </c>
      <c r="I75">
        <v>4.7</v>
      </c>
      <c r="J75">
        <v>81.3</v>
      </c>
      <c r="K75">
        <v>28.1</v>
      </c>
      <c r="L75">
        <v>0.52900000000000003</v>
      </c>
      <c r="M75">
        <v>0.83</v>
      </c>
      <c r="N75">
        <v>-14.5</v>
      </c>
      <c r="O75">
        <v>1.5</v>
      </c>
      <c r="P75">
        <v>50</v>
      </c>
      <c r="Q75">
        <v>-50</v>
      </c>
      <c r="R75" t="str">
        <f t="shared" si="3"/>
        <v>LOSE</v>
      </c>
    </row>
    <row r="76" spans="1:18" x14ac:dyDescent="0.2">
      <c r="A76" t="s">
        <v>23</v>
      </c>
      <c r="B76" t="s">
        <v>97</v>
      </c>
      <c r="C76" t="s">
        <v>123</v>
      </c>
      <c r="D76">
        <v>5.5</v>
      </c>
      <c r="E76">
        <v>1.87</v>
      </c>
      <c r="F76" t="s">
        <v>129</v>
      </c>
      <c r="G76" t="s">
        <v>139</v>
      </c>
      <c r="H76" t="s">
        <v>147</v>
      </c>
      <c r="I76">
        <v>6.2</v>
      </c>
      <c r="J76">
        <v>81.7</v>
      </c>
      <c r="K76">
        <v>28.2</v>
      </c>
      <c r="L76">
        <v>0.52800000000000002</v>
      </c>
      <c r="M76">
        <v>0.92</v>
      </c>
      <c r="N76">
        <v>12.7</v>
      </c>
      <c r="O76">
        <v>7</v>
      </c>
      <c r="P76">
        <v>50</v>
      </c>
      <c r="Q76">
        <f t="shared" si="2"/>
        <v>43.5</v>
      </c>
      <c r="R76" t="str">
        <f t="shared" si="3"/>
        <v>WIN</v>
      </c>
    </row>
    <row r="77" spans="1:18" x14ac:dyDescent="0.2">
      <c r="A77" t="s">
        <v>16</v>
      </c>
      <c r="B77" t="s">
        <v>98</v>
      </c>
      <c r="C77" t="s">
        <v>123</v>
      </c>
      <c r="D77">
        <v>10.5</v>
      </c>
      <c r="E77">
        <v>1.77</v>
      </c>
      <c r="F77" t="s">
        <v>128</v>
      </c>
      <c r="G77" t="s">
        <v>132</v>
      </c>
      <c r="H77" t="s">
        <v>147</v>
      </c>
      <c r="I77">
        <v>12</v>
      </c>
      <c r="J77">
        <v>86.3</v>
      </c>
      <c r="K77">
        <v>29.8</v>
      </c>
      <c r="L77">
        <v>0.52700000000000002</v>
      </c>
      <c r="M77">
        <v>0.88</v>
      </c>
      <c r="N77">
        <v>13.8</v>
      </c>
      <c r="O77">
        <v>8</v>
      </c>
      <c r="P77">
        <v>50</v>
      </c>
      <c r="Q77">
        <f t="shared" si="2"/>
        <v>38.5</v>
      </c>
      <c r="R77" t="str">
        <f t="shared" si="3"/>
        <v>WIN</v>
      </c>
    </row>
    <row r="78" spans="1:18" x14ac:dyDescent="0.2">
      <c r="A78" t="s">
        <v>21</v>
      </c>
      <c r="B78" t="s">
        <v>38</v>
      </c>
      <c r="C78" t="s">
        <v>123</v>
      </c>
      <c r="D78">
        <v>5.5</v>
      </c>
      <c r="E78">
        <v>1.8</v>
      </c>
      <c r="F78" t="s">
        <v>129</v>
      </c>
      <c r="G78" t="s">
        <v>137</v>
      </c>
      <c r="H78" t="s">
        <v>146</v>
      </c>
      <c r="I78">
        <v>4.5</v>
      </c>
      <c r="J78">
        <v>84.4</v>
      </c>
      <c r="K78">
        <v>28.9</v>
      </c>
      <c r="L78">
        <v>0.52</v>
      </c>
      <c r="M78">
        <v>0.85</v>
      </c>
      <c r="N78">
        <v>-17.5</v>
      </c>
      <c r="O78">
        <v>1.5</v>
      </c>
      <c r="P78">
        <v>50</v>
      </c>
      <c r="Q78">
        <v>-50</v>
      </c>
      <c r="R78" t="str">
        <f t="shared" si="3"/>
        <v>LOSE</v>
      </c>
    </row>
    <row r="79" spans="1:18" x14ac:dyDescent="0.2">
      <c r="A79" t="s">
        <v>26</v>
      </c>
      <c r="B79" t="s">
        <v>99</v>
      </c>
      <c r="C79" t="s">
        <v>124</v>
      </c>
      <c r="D79">
        <v>1.5</v>
      </c>
      <c r="E79">
        <v>2.0499999999999998</v>
      </c>
      <c r="F79" t="s">
        <v>129</v>
      </c>
      <c r="G79" t="s">
        <v>142</v>
      </c>
      <c r="H79" t="s">
        <v>147</v>
      </c>
      <c r="I79">
        <v>1.8</v>
      </c>
      <c r="J79">
        <v>74</v>
      </c>
      <c r="K79">
        <v>25.2</v>
      </c>
      <c r="L79">
        <v>0.51700000000000002</v>
      </c>
      <c r="M79">
        <v>0.93</v>
      </c>
      <c r="N79">
        <v>17.3</v>
      </c>
      <c r="O79">
        <v>5.5</v>
      </c>
      <c r="P79">
        <v>50</v>
      </c>
      <c r="Q79">
        <f t="shared" si="2"/>
        <v>52.499999999999986</v>
      </c>
      <c r="R79" t="str">
        <f t="shared" si="3"/>
        <v>WIN</v>
      </c>
    </row>
    <row r="80" spans="1:18" x14ac:dyDescent="0.2">
      <c r="A80" t="s">
        <v>23</v>
      </c>
      <c r="B80" t="s">
        <v>100</v>
      </c>
      <c r="C80" t="s">
        <v>122</v>
      </c>
      <c r="D80">
        <v>8.5</v>
      </c>
      <c r="E80">
        <v>1.74</v>
      </c>
      <c r="F80" t="s">
        <v>126</v>
      </c>
      <c r="G80" t="s">
        <v>139</v>
      </c>
      <c r="H80" t="s">
        <v>146</v>
      </c>
      <c r="I80">
        <v>6.8</v>
      </c>
      <c r="J80">
        <v>86.9</v>
      </c>
      <c r="K80">
        <v>29.4</v>
      </c>
      <c r="L80">
        <v>0.51200000000000001</v>
      </c>
      <c r="M80">
        <v>0.87</v>
      </c>
      <c r="N80">
        <v>-20.100000000000001</v>
      </c>
      <c r="O80">
        <v>7</v>
      </c>
      <c r="P80">
        <v>50</v>
      </c>
      <c r="Q80">
        <v>-50</v>
      </c>
      <c r="R80" t="str">
        <f t="shared" si="3"/>
        <v>LOSE</v>
      </c>
    </row>
    <row r="81" spans="1:18" x14ac:dyDescent="0.2">
      <c r="A81" t="s">
        <v>28</v>
      </c>
      <c r="B81" t="s">
        <v>101</v>
      </c>
      <c r="C81" t="s">
        <v>123</v>
      </c>
      <c r="D81">
        <v>3.5</v>
      </c>
      <c r="E81">
        <v>1.7</v>
      </c>
      <c r="F81" t="s">
        <v>130</v>
      </c>
      <c r="G81" t="s">
        <v>144</v>
      </c>
      <c r="H81" t="s">
        <v>146</v>
      </c>
      <c r="I81">
        <v>2.9</v>
      </c>
      <c r="J81">
        <v>88.9</v>
      </c>
      <c r="K81">
        <v>30.1</v>
      </c>
      <c r="L81">
        <v>0.51100000000000001</v>
      </c>
      <c r="M81">
        <v>0.92</v>
      </c>
      <c r="N81">
        <v>-16.3</v>
      </c>
      <c r="O81">
        <v>9.5</v>
      </c>
      <c r="P81">
        <v>50</v>
      </c>
      <c r="Q81">
        <f t="shared" si="2"/>
        <v>35</v>
      </c>
      <c r="R81" t="str">
        <f t="shared" si="3"/>
        <v>WIN</v>
      </c>
    </row>
    <row r="82" spans="1:18" x14ac:dyDescent="0.2">
      <c r="A82" t="s">
        <v>23</v>
      </c>
      <c r="B82" t="s">
        <v>102</v>
      </c>
      <c r="C82" t="s">
        <v>122</v>
      </c>
      <c r="D82">
        <v>14.5</v>
      </c>
      <c r="E82">
        <v>1.85</v>
      </c>
      <c r="F82" t="s">
        <v>127</v>
      </c>
      <c r="G82" t="s">
        <v>139</v>
      </c>
      <c r="H82" t="s">
        <v>146</v>
      </c>
      <c r="I82">
        <v>12.4</v>
      </c>
      <c r="J82">
        <v>81.599999999999994</v>
      </c>
      <c r="K82">
        <v>27.5</v>
      </c>
      <c r="L82">
        <v>0.50900000000000001</v>
      </c>
      <c r="M82">
        <v>0.8</v>
      </c>
      <c r="N82">
        <v>-14.3</v>
      </c>
      <c r="O82">
        <v>7</v>
      </c>
      <c r="P82">
        <v>50</v>
      </c>
      <c r="Q82">
        <f t="shared" si="2"/>
        <v>42.5</v>
      </c>
      <c r="R82" t="str">
        <f t="shared" si="3"/>
        <v>WIN</v>
      </c>
    </row>
    <row r="83" spans="1:18" x14ac:dyDescent="0.2">
      <c r="A83" t="s">
        <v>16</v>
      </c>
      <c r="B83" t="s">
        <v>103</v>
      </c>
      <c r="C83" t="s">
        <v>123</v>
      </c>
      <c r="D83">
        <v>6.5</v>
      </c>
      <c r="E83">
        <v>1.85</v>
      </c>
      <c r="F83" t="s">
        <v>127</v>
      </c>
      <c r="G83" t="s">
        <v>132</v>
      </c>
      <c r="H83" t="s">
        <v>147</v>
      </c>
      <c r="I83">
        <v>7.3</v>
      </c>
      <c r="J83">
        <v>81.3</v>
      </c>
      <c r="K83">
        <v>27.2</v>
      </c>
      <c r="L83">
        <v>0.504</v>
      </c>
      <c r="M83">
        <v>0.83</v>
      </c>
      <c r="N83">
        <v>12</v>
      </c>
      <c r="O83">
        <v>8</v>
      </c>
      <c r="P83">
        <v>50</v>
      </c>
      <c r="Q83">
        <v>-50</v>
      </c>
      <c r="R83" t="str">
        <f t="shared" si="3"/>
        <v>LOSE</v>
      </c>
    </row>
    <row r="84" spans="1:18" x14ac:dyDescent="0.2">
      <c r="A84" t="s">
        <v>20</v>
      </c>
      <c r="B84" t="s">
        <v>104</v>
      </c>
      <c r="C84" t="s">
        <v>122</v>
      </c>
      <c r="D84">
        <v>21.5</v>
      </c>
      <c r="E84">
        <v>1.74</v>
      </c>
      <c r="F84" t="s">
        <v>125</v>
      </c>
      <c r="G84" t="s">
        <v>136</v>
      </c>
      <c r="H84" t="s">
        <v>147</v>
      </c>
      <c r="I84">
        <v>24.8</v>
      </c>
      <c r="J84">
        <v>86.4</v>
      </c>
      <c r="K84">
        <v>28.9</v>
      </c>
      <c r="L84">
        <v>0.504</v>
      </c>
      <c r="M84">
        <v>0.95</v>
      </c>
      <c r="N84">
        <v>15.6</v>
      </c>
      <c r="O84">
        <v>8</v>
      </c>
      <c r="P84">
        <v>50</v>
      </c>
      <c r="Q84">
        <f t="shared" si="2"/>
        <v>37</v>
      </c>
      <c r="R84" t="str">
        <f t="shared" si="3"/>
        <v>WIN</v>
      </c>
    </row>
    <row r="85" spans="1:18" x14ac:dyDescent="0.2">
      <c r="A85" t="s">
        <v>27</v>
      </c>
      <c r="B85" t="s">
        <v>105</v>
      </c>
      <c r="C85" t="s">
        <v>122</v>
      </c>
      <c r="D85">
        <v>14.5</v>
      </c>
      <c r="E85">
        <v>1.81</v>
      </c>
      <c r="F85" t="s">
        <v>127</v>
      </c>
      <c r="G85" t="s">
        <v>143</v>
      </c>
      <c r="H85" t="s">
        <v>146</v>
      </c>
      <c r="I85">
        <v>12.2</v>
      </c>
      <c r="J85">
        <v>82.4</v>
      </c>
      <c r="K85">
        <v>27.1</v>
      </c>
      <c r="L85">
        <v>0.49099999999999999</v>
      </c>
      <c r="M85">
        <v>0.93</v>
      </c>
      <c r="N85">
        <v>-15.9</v>
      </c>
      <c r="O85">
        <v>9</v>
      </c>
      <c r="P85">
        <v>50</v>
      </c>
      <c r="Q85">
        <f t="shared" si="2"/>
        <v>40.5</v>
      </c>
      <c r="R85" t="str">
        <f t="shared" si="3"/>
        <v>WIN</v>
      </c>
    </row>
    <row r="86" spans="1:18" x14ac:dyDescent="0.2">
      <c r="A86" t="s">
        <v>27</v>
      </c>
      <c r="B86" t="s">
        <v>106</v>
      </c>
      <c r="C86" t="s">
        <v>122</v>
      </c>
      <c r="D86">
        <v>10.5</v>
      </c>
      <c r="E86">
        <v>1.95</v>
      </c>
      <c r="F86" t="s">
        <v>129</v>
      </c>
      <c r="G86" t="s">
        <v>143</v>
      </c>
      <c r="H86" t="s">
        <v>147</v>
      </c>
      <c r="I86">
        <v>11.9</v>
      </c>
      <c r="J86">
        <v>76.3</v>
      </c>
      <c r="K86">
        <v>25</v>
      </c>
      <c r="L86">
        <v>0.48799999999999999</v>
      </c>
      <c r="M86">
        <v>0.77</v>
      </c>
      <c r="N86">
        <v>13.1</v>
      </c>
      <c r="O86">
        <v>9</v>
      </c>
      <c r="P86">
        <v>50</v>
      </c>
      <c r="Q86">
        <v>-50</v>
      </c>
      <c r="R86" t="str">
        <f t="shared" si="3"/>
        <v>LOSE</v>
      </c>
    </row>
    <row r="87" spans="1:18" x14ac:dyDescent="0.2">
      <c r="A87" t="s">
        <v>17</v>
      </c>
      <c r="B87" t="s">
        <v>37</v>
      </c>
      <c r="C87" t="s">
        <v>124</v>
      </c>
      <c r="D87">
        <v>3.5</v>
      </c>
      <c r="E87">
        <v>1.74</v>
      </c>
      <c r="F87" t="s">
        <v>129</v>
      </c>
      <c r="G87" t="s">
        <v>133</v>
      </c>
      <c r="H87" t="s">
        <v>146</v>
      </c>
      <c r="I87">
        <v>3</v>
      </c>
      <c r="J87">
        <v>84.6</v>
      </c>
      <c r="K87">
        <v>27.1</v>
      </c>
      <c r="L87">
        <v>0.47199999999999998</v>
      </c>
      <c r="M87">
        <v>0.81</v>
      </c>
      <c r="N87">
        <v>-12.9</v>
      </c>
      <c r="O87">
        <v>9.5</v>
      </c>
      <c r="P87">
        <v>50</v>
      </c>
      <c r="Q87">
        <v>-50</v>
      </c>
      <c r="R87" t="str">
        <f t="shared" si="3"/>
        <v>LOSE</v>
      </c>
    </row>
    <row r="88" spans="1:18" x14ac:dyDescent="0.2">
      <c r="A88" t="s">
        <v>18</v>
      </c>
      <c r="B88" t="s">
        <v>107</v>
      </c>
      <c r="C88" t="s">
        <v>124</v>
      </c>
      <c r="D88">
        <v>2.5</v>
      </c>
      <c r="E88">
        <v>1.97</v>
      </c>
      <c r="F88" t="s">
        <v>128</v>
      </c>
      <c r="G88" t="s">
        <v>134</v>
      </c>
      <c r="H88" t="s">
        <v>146</v>
      </c>
      <c r="I88">
        <v>2.2000000000000002</v>
      </c>
      <c r="J88">
        <v>74.599999999999994</v>
      </c>
      <c r="K88">
        <v>23.8</v>
      </c>
      <c r="L88">
        <v>0.46899999999999997</v>
      </c>
      <c r="M88">
        <v>0.95</v>
      </c>
      <c r="N88">
        <v>-11.6</v>
      </c>
      <c r="O88">
        <v>5.5</v>
      </c>
      <c r="P88">
        <v>50</v>
      </c>
      <c r="Q88">
        <v>-50</v>
      </c>
      <c r="R88" t="str">
        <f t="shared" si="3"/>
        <v>LOSE</v>
      </c>
    </row>
    <row r="89" spans="1:18" x14ac:dyDescent="0.2">
      <c r="A89" t="s">
        <v>26</v>
      </c>
      <c r="B89" t="s">
        <v>108</v>
      </c>
      <c r="C89" t="s">
        <v>123</v>
      </c>
      <c r="D89">
        <v>4.5</v>
      </c>
      <c r="E89">
        <v>1.71</v>
      </c>
      <c r="F89" t="s">
        <v>129</v>
      </c>
      <c r="G89" t="s">
        <v>142</v>
      </c>
      <c r="H89" t="s">
        <v>146</v>
      </c>
      <c r="I89">
        <v>3.6</v>
      </c>
      <c r="J89">
        <v>85.9</v>
      </c>
      <c r="K89">
        <v>27.4</v>
      </c>
      <c r="L89">
        <v>0.46800000000000003</v>
      </c>
      <c r="M89">
        <v>0.84</v>
      </c>
      <c r="N89">
        <v>-20.9</v>
      </c>
      <c r="O89">
        <v>5.5</v>
      </c>
      <c r="P89">
        <v>50</v>
      </c>
      <c r="Q89">
        <f t="shared" si="2"/>
        <v>35.5</v>
      </c>
      <c r="R89" t="str">
        <f t="shared" si="3"/>
        <v>WIN</v>
      </c>
    </row>
    <row r="90" spans="1:18" x14ac:dyDescent="0.2">
      <c r="A90" t="s">
        <v>23</v>
      </c>
      <c r="B90" t="s">
        <v>109</v>
      </c>
      <c r="C90" t="s">
        <v>122</v>
      </c>
      <c r="D90">
        <v>13.5</v>
      </c>
      <c r="E90">
        <v>1.87</v>
      </c>
      <c r="F90" t="s">
        <v>129</v>
      </c>
      <c r="G90" t="s">
        <v>139</v>
      </c>
      <c r="H90" t="s">
        <v>147</v>
      </c>
      <c r="I90">
        <v>15.4</v>
      </c>
      <c r="J90">
        <v>78.3</v>
      </c>
      <c r="K90">
        <v>24.8</v>
      </c>
      <c r="L90">
        <v>0.46400000000000002</v>
      </c>
      <c r="M90">
        <v>0.77</v>
      </c>
      <c r="N90">
        <v>14.3</v>
      </c>
      <c r="O90">
        <v>7</v>
      </c>
      <c r="P90">
        <v>50</v>
      </c>
      <c r="Q90">
        <v>-50</v>
      </c>
      <c r="R90" t="str">
        <f t="shared" si="3"/>
        <v>LOSE</v>
      </c>
    </row>
    <row r="91" spans="1:18" x14ac:dyDescent="0.2">
      <c r="A91" t="s">
        <v>17</v>
      </c>
      <c r="B91" t="s">
        <v>110</v>
      </c>
      <c r="C91" t="s">
        <v>123</v>
      </c>
      <c r="D91">
        <v>7.5</v>
      </c>
      <c r="E91">
        <v>1.99</v>
      </c>
      <c r="F91" t="s">
        <v>126</v>
      </c>
      <c r="G91" t="s">
        <v>133</v>
      </c>
      <c r="H91" t="s">
        <v>146</v>
      </c>
      <c r="I91">
        <v>6.8</v>
      </c>
      <c r="J91">
        <v>73.400000000000006</v>
      </c>
      <c r="K91">
        <v>23.2</v>
      </c>
      <c r="L91">
        <v>0.46200000000000002</v>
      </c>
      <c r="M91">
        <v>0.77</v>
      </c>
      <c r="N91">
        <v>-10</v>
      </c>
      <c r="O91">
        <v>9.5</v>
      </c>
      <c r="P91">
        <v>50</v>
      </c>
      <c r="Q91">
        <f t="shared" si="2"/>
        <v>49.5</v>
      </c>
      <c r="R91" t="str">
        <f t="shared" si="3"/>
        <v>WIN</v>
      </c>
    </row>
    <row r="92" spans="1:18" x14ac:dyDescent="0.2">
      <c r="A92" t="s">
        <v>23</v>
      </c>
      <c r="B92" t="s">
        <v>111</v>
      </c>
      <c r="C92" t="s">
        <v>122</v>
      </c>
      <c r="D92">
        <v>23.5</v>
      </c>
      <c r="E92">
        <v>1.77</v>
      </c>
      <c r="F92" t="s">
        <v>125</v>
      </c>
      <c r="G92" t="s">
        <v>139</v>
      </c>
      <c r="H92" t="s">
        <v>147</v>
      </c>
      <c r="I92">
        <v>26.5</v>
      </c>
      <c r="J92">
        <v>82.3</v>
      </c>
      <c r="K92">
        <v>25.8</v>
      </c>
      <c r="L92">
        <v>0.45700000000000002</v>
      </c>
      <c r="M92">
        <v>0.94</v>
      </c>
      <c r="N92">
        <v>12.6</v>
      </c>
      <c r="O92">
        <v>7</v>
      </c>
      <c r="P92">
        <v>50</v>
      </c>
      <c r="Q92">
        <f t="shared" si="2"/>
        <v>38.5</v>
      </c>
      <c r="R92" t="str">
        <f t="shared" si="3"/>
        <v>WIN</v>
      </c>
    </row>
    <row r="93" spans="1:18" x14ac:dyDescent="0.2">
      <c r="A93" t="s">
        <v>27</v>
      </c>
      <c r="B93" t="s">
        <v>112</v>
      </c>
      <c r="C93" t="s">
        <v>122</v>
      </c>
      <c r="D93">
        <v>12.5</v>
      </c>
      <c r="E93">
        <v>1.85</v>
      </c>
      <c r="F93" t="s">
        <v>126</v>
      </c>
      <c r="G93" t="s">
        <v>143</v>
      </c>
      <c r="H93" t="s">
        <v>147</v>
      </c>
      <c r="I93">
        <v>14</v>
      </c>
      <c r="J93">
        <v>78.099999999999994</v>
      </c>
      <c r="K93">
        <v>24</v>
      </c>
      <c r="L93">
        <v>0.44400000000000001</v>
      </c>
      <c r="M93">
        <v>0.95</v>
      </c>
      <c r="N93">
        <v>11.7</v>
      </c>
      <c r="O93">
        <v>9</v>
      </c>
      <c r="P93">
        <v>50</v>
      </c>
      <c r="Q93">
        <f t="shared" si="2"/>
        <v>42.5</v>
      </c>
      <c r="R93" t="str">
        <f t="shared" si="3"/>
        <v>WIN</v>
      </c>
    </row>
    <row r="94" spans="1:18" x14ac:dyDescent="0.2">
      <c r="A94" t="s">
        <v>20</v>
      </c>
      <c r="B94" t="s">
        <v>71</v>
      </c>
      <c r="C94" t="s">
        <v>123</v>
      </c>
      <c r="D94">
        <v>6.5</v>
      </c>
      <c r="E94">
        <v>1.78</v>
      </c>
      <c r="F94" t="s">
        <v>126</v>
      </c>
      <c r="G94" t="s">
        <v>136</v>
      </c>
      <c r="H94" t="s">
        <v>147</v>
      </c>
      <c r="I94">
        <v>7.4</v>
      </c>
      <c r="J94">
        <v>79.900000000000006</v>
      </c>
      <c r="K94">
        <v>23.8</v>
      </c>
      <c r="L94">
        <v>0.42299999999999999</v>
      </c>
      <c r="M94">
        <v>0.84</v>
      </c>
      <c r="N94">
        <v>14.6</v>
      </c>
      <c r="O94">
        <v>8</v>
      </c>
      <c r="P94">
        <v>50</v>
      </c>
      <c r="Q94">
        <f t="shared" si="2"/>
        <v>39</v>
      </c>
      <c r="R94" t="str">
        <f t="shared" si="3"/>
        <v>WIN</v>
      </c>
    </row>
    <row r="95" spans="1:18" x14ac:dyDescent="0.2">
      <c r="A95" t="s">
        <v>25</v>
      </c>
      <c r="B95" t="s">
        <v>113</v>
      </c>
      <c r="C95" t="s">
        <v>122</v>
      </c>
      <c r="D95">
        <v>25.5</v>
      </c>
      <c r="E95">
        <v>1.74</v>
      </c>
      <c r="F95" t="s">
        <v>125</v>
      </c>
      <c r="G95" t="s">
        <v>141</v>
      </c>
      <c r="H95" t="s">
        <v>146</v>
      </c>
      <c r="I95">
        <v>22.9</v>
      </c>
      <c r="J95">
        <v>81.400000000000006</v>
      </c>
      <c r="K95">
        <v>24</v>
      </c>
      <c r="L95">
        <v>0.41699999999999998</v>
      </c>
      <c r="M95">
        <v>0.8</v>
      </c>
      <c r="N95">
        <v>-10.1</v>
      </c>
      <c r="O95">
        <v>2</v>
      </c>
      <c r="P95">
        <v>50</v>
      </c>
      <c r="Q95">
        <f t="shared" si="2"/>
        <v>37</v>
      </c>
      <c r="R95" t="str">
        <f t="shared" si="3"/>
        <v>WIN</v>
      </c>
    </row>
    <row r="96" spans="1:18" x14ac:dyDescent="0.2">
      <c r="A96" t="s">
        <v>26</v>
      </c>
      <c r="B96" t="s">
        <v>114</v>
      </c>
      <c r="C96" t="s">
        <v>122</v>
      </c>
      <c r="D96">
        <v>10.5</v>
      </c>
      <c r="E96">
        <v>1.86</v>
      </c>
      <c r="F96" t="s">
        <v>127</v>
      </c>
      <c r="G96" t="s">
        <v>142</v>
      </c>
      <c r="H96" t="s">
        <v>146</v>
      </c>
      <c r="I96">
        <v>9.4</v>
      </c>
      <c r="J96">
        <v>75.900000000000006</v>
      </c>
      <c r="K96">
        <v>22.1</v>
      </c>
      <c r="L96">
        <v>0.41099999999999998</v>
      </c>
      <c r="M96">
        <v>0.81</v>
      </c>
      <c r="N96">
        <v>-10.9</v>
      </c>
      <c r="O96">
        <v>5.5</v>
      </c>
      <c r="P96">
        <v>50</v>
      </c>
      <c r="Q96">
        <v>-50</v>
      </c>
      <c r="R96" t="str">
        <f t="shared" si="3"/>
        <v>LOSE</v>
      </c>
    </row>
    <row r="97" spans="1:18" x14ac:dyDescent="0.2">
      <c r="A97" t="s">
        <v>26</v>
      </c>
      <c r="B97" t="s">
        <v>115</v>
      </c>
      <c r="C97" t="s">
        <v>122</v>
      </c>
      <c r="D97">
        <v>28.5</v>
      </c>
      <c r="E97">
        <v>1.82</v>
      </c>
      <c r="F97" t="s">
        <v>130</v>
      </c>
      <c r="G97" t="s">
        <v>142</v>
      </c>
      <c r="H97" t="s">
        <v>146</v>
      </c>
      <c r="I97">
        <v>25.5</v>
      </c>
      <c r="J97">
        <v>77.400000000000006</v>
      </c>
      <c r="K97">
        <v>22.5</v>
      </c>
      <c r="L97">
        <v>0.40899999999999997</v>
      </c>
      <c r="M97">
        <v>0.78</v>
      </c>
      <c r="N97">
        <v>-10.5</v>
      </c>
      <c r="O97">
        <v>5.5</v>
      </c>
      <c r="P97">
        <v>50</v>
      </c>
      <c r="Q97">
        <f t="shared" si="2"/>
        <v>41</v>
      </c>
      <c r="R97" t="str">
        <f t="shared" si="3"/>
        <v>WIN</v>
      </c>
    </row>
    <row r="98" spans="1:18" x14ac:dyDescent="0.2">
      <c r="A98" t="s">
        <v>16</v>
      </c>
      <c r="B98" t="s">
        <v>116</v>
      </c>
      <c r="C98" t="s">
        <v>123</v>
      </c>
      <c r="D98">
        <v>9.5</v>
      </c>
      <c r="E98">
        <v>1.74</v>
      </c>
      <c r="F98" t="s">
        <v>127</v>
      </c>
      <c r="G98" t="s">
        <v>132</v>
      </c>
      <c r="H98" t="s">
        <v>146</v>
      </c>
      <c r="I98">
        <v>8.4</v>
      </c>
      <c r="J98">
        <v>80.8</v>
      </c>
      <c r="K98">
        <v>23.3</v>
      </c>
      <c r="L98">
        <v>0.40500000000000003</v>
      </c>
      <c r="M98">
        <v>0.81</v>
      </c>
      <c r="N98">
        <v>-11.9</v>
      </c>
      <c r="O98">
        <v>8</v>
      </c>
      <c r="P98">
        <v>50</v>
      </c>
      <c r="Q98">
        <f t="shared" si="2"/>
        <v>37</v>
      </c>
      <c r="R98" t="str">
        <f t="shared" si="3"/>
        <v>WIN</v>
      </c>
    </row>
    <row r="99" spans="1:18" x14ac:dyDescent="0.2">
      <c r="A99" t="s">
        <v>18</v>
      </c>
      <c r="B99" t="s">
        <v>117</v>
      </c>
      <c r="C99" t="s">
        <v>123</v>
      </c>
      <c r="D99">
        <v>3.5</v>
      </c>
      <c r="E99">
        <v>1.71</v>
      </c>
      <c r="F99" t="s">
        <v>129</v>
      </c>
      <c r="G99" t="s">
        <v>134</v>
      </c>
      <c r="H99" t="s">
        <v>146</v>
      </c>
      <c r="I99">
        <v>3</v>
      </c>
      <c r="J99">
        <v>82.1</v>
      </c>
      <c r="K99">
        <v>23.6</v>
      </c>
      <c r="L99">
        <v>0.40300000000000002</v>
      </c>
      <c r="M99">
        <v>0.77</v>
      </c>
      <c r="N99">
        <v>-14.9</v>
      </c>
      <c r="O99">
        <v>5.5</v>
      </c>
      <c r="P99">
        <v>50</v>
      </c>
      <c r="Q99">
        <f t="shared" si="2"/>
        <v>35.5</v>
      </c>
      <c r="R99" t="str">
        <f t="shared" si="3"/>
        <v>WIN</v>
      </c>
    </row>
    <row r="100" spans="1:18" x14ac:dyDescent="0.2">
      <c r="A100" t="s">
        <v>18</v>
      </c>
      <c r="B100" t="s">
        <v>117</v>
      </c>
      <c r="C100" t="s">
        <v>124</v>
      </c>
      <c r="D100">
        <v>1.5</v>
      </c>
      <c r="E100">
        <v>1.71</v>
      </c>
      <c r="F100" t="s">
        <v>129</v>
      </c>
      <c r="G100" t="s">
        <v>134</v>
      </c>
      <c r="H100" t="s">
        <v>147</v>
      </c>
      <c r="I100">
        <v>1.8</v>
      </c>
      <c r="J100">
        <v>80.5</v>
      </c>
      <c r="K100">
        <v>22</v>
      </c>
      <c r="L100">
        <v>0.377</v>
      </c>
      <c r="M100">
        <v>0.95</v>
      </c>
      <c r="N100">
        <v>22.7</v>
      </c>
      <c r="O100">
        <v>5.5</v>
      </c>
      <c r="P100">
        <v>50</v>
      </c>
      <c r="Q100">
        <v>-50</v>
      </c>
      <c r="R100" t="str">
        <f t="shared" si="3"/>
        <v>LOSE</v>
      </c>
    </row>
    <row r="101" spans="1:18" x14ac:dyDescent="0.2">
      <c r="A101" t="s">
        <v>29</v>
      </c>
      <c r="B101" t="s">
        <v>118</v>
      </c>
      <c r="C101" t="s">
        <v>122</v>
      </c>
      <c r="D101">
        <v>14.5</v>
      </c>
      <c r="E101">
        <v>1.81</v>
      </c>
      <c r="F101" t="s">
        <v>126</v>
      </c>
      <c r="G101" t="s">
        <v>145</v>
      </c>
      <c r="H101" t="s">
        <v>147</v>
      </c>
      <c r="I101">
        <v>16.100000000000001</v>
      </c>
      <c r="J101">
        <v>73.8</v>
      </c>
      <c r="K101">
        <v>18.600000000000001</v>
      </c>
      <c r="L101">
        <v>0.33600000000000002</v>
      </c>
      <c r="M101">
        <v>0.88</v>
      </c>
      <c r="N101">
        <v>11.1</v>
      </c>
      <c r="O101">
        <v>5.5</v>
      </c>
      <c r="P101">
        <v>50</v>
      </c>
      <c r="Q101">
        <v>-50</v>
      </c>
      <c r="R101" t="str">
        <f t="shared" si="3"/>
        <v>LOSE</v>
      </c>
    </row>
    <row r="102" spans="1:18" x14ac:dyDescent="0.2">
      <c r="A102" t="s">
        <v>27</v>
      </c>
      <c r="B102" t="s">
        <v>119</v>
      </c>
      <c r="C102" t="s">
        <v>122</v>
      </c>
      <c r="D102">
        <v>7.5</v>
      </c>
      <c r="E102">
        <v>1.83</v>
      </c>
      <c r="F102" t="s">
        <v>127</v>
      </c>
      <c r="G102" t="s">
        <v>143</v>
      </c>
      <c r="H102" t="s">
        <v>146</v>
      </c>
      <c r="I102">
        <v>6.5</v>
      </c>
      <c r="J102">
        <v>72.900000000000006</v>
      </c>
      <c r="K102">
        <v>18.3</v>
      </c>
      <c r="L102">
        <v>0.33400000000000002</v>
      </c>
      <c r="M102">
        <v>0.86</v>
      </c>
      <c r="N102">
        <v>-13.2</v>
      </c>
      <c r="O102">
        <v>9</v>
      </c>
      <c r="P102">
        <v>50</v>
      </c>
      <c r="Q102">
        <f t="shared" si="2"/>
        <v>41.5</v>
      </c>
      <c r="R102" t="str">
        <f t="shared" si="3"/>
        <v>WIN</v>
      </c>
    </row>
    <row r="103" spans="1:18" x14ac:dyDescent="0.2">
      <c r="A103" t="s">
        <v>17</v>
      </c>
      <c r="B103" t="s">
        <v>49</v>
      </c>
      <c r="C103" t="s">
        <v>123</v>
      </c>
      <c r="D103">
        <v>3.5</v>
      </c>
      <c r="E103">
        <v>1.96</v>
      </c>
      <c r="F103" t="s">
        <v>130</v>
      </c>
      <c r="G103" t="s">
        <v>133</v>
      </c>
      <c r="H103" t="s">
        <v>147</v>
      </c>
      <c r="I103">
        <v>3.9</v>
      </c>
      <c r="J103">
        <v>67.8</v>
      </c>
      <c r="K103">
        <v>16.8</v>
      </c>
      <c r="L103">
        <v>0.32900000000000001</v>
      </c>
      <c r="M103">
        <v>0.79</v>
      </c>
      <c r="N103">
        <v>11.7</v>
      </c>
      <c r="O103">
        <v>9.5</v>
      </c>
      <c r="P103">
        <v>0</v>
      </c>
      <c r="Q103">
        <f t="shared" si="2"/>
        <v>0</v>
      </c>
    </row>
    <row r="104" spans="1:18" x14ac:dyDescent="0.2">
      <c r="A104" t="s">
        <v>23</v>
      </c>
      <c r="B104" t="s">
        <v>68</v>
      </c>
      <c r="C104" t="s">
        <v>123</v>
      </c>
      <c r="D104">
        <v>4.5</v>
      </c>
      <c r="E104">
        <v>1.8</v>
      </c>
      <c r="F104" t="s">
        <v>131</v>
      </c>
      <c r="G104" t="s">
        <v>139</v>
      </c>
      <c r="H104" t="s">
        <v>147</v>
      </c>
      <c r="I104">
        <v>5</v>
      </c>
      <c r="J104">
        <v>71.3</v>
      </c>
      <c r="K104">
        <v>15.7</v>
      </c>
      <c r="L104">
        <v>0.28299999999999997</v>
      </c>
      <c r="M104">
        <v>0.89</v>
      </c>
      <c r="N104">
        <v>10.199999999999999</v>
      </c>
      <c r="O104">
        <v>7</v>
      </c>
      <c r="P104">
        <v>50</v>
      </c>
      <c r="Q104">
        <v>-50</v>
      </c>
      <c r="R104" t="str">
        <f t="shared" si="3"/>
        <v>LOSE</v>
      </c>
    </row>
    <row r="105" spans="1:18" x14ac:dyDescent="0.2">
      <c r="A105" t="s">
        <v>24</v>
      </c>
      <c r="B105" t="s">
        <v>88</v>
      </c>
      <c r="C105" t="s">
        <v>123</v>
      </c>
      <c r="D105">
        <v>3.5</v>
      </c>
      <c r="E105">
        <v>1.77</v>
      </c>
      <c r="F105" t="s">
        <v>125</v>
      </c>
      <c r="G105" t="s">
        <v>140</v>
      </c>
      <c r="H105" t="s">
        <v>147</v>
      </c>
      <c r="I105">
        <v>3.9</v>
      </c>
      <c r="J105">
        <v>72.400000000000006</v>
      </c>
      <c r="K105">
        <v>15.9</v>
      </c>
      <c r="L105">
        <v>0.28199999999999997</v>
      </c>
      <c r="M105">
        <v>0.93</v>
      </c>
      <c r="N105">
        <v>10.6</v>
      </c>
      <c r="O105">
        <v>4</v>
      </c>
      <c r="P105">
        <v>50</v>
      </c>
      <c r="Q105">
        <v>-50</v>
      </c>
      <c r="R105" t="str">
        <f t="shared" si="3"/>
        <v>LOSE</v>
      </c>
    </row>
    <row r="106" spans="1:18" x14ac:dyDescent="0.2">
      <c r="A106" t="s">
        <v>18</v>
      </c>
      <c r="B106" t="s">
        <v>120</v>
      </c>
      <c r="C106" t="s">
        <v>122</v>
      </c>
      <c r="D106">
        <v>5.5</v>
      </c>
      <c r="E106">
        <v>1.71</v>
      </c>
      <c r="F106" t="s">
        <v>129</v>
      </c>
      <c r="G106" t="s">
        <v>134</v>
      </c>
      <c r="H106" t="s">
        <v>147</v>
      </c>
      <c r="I106">
        <v>6.2</v>
      </c>
      <c r="J106">
        <v>74.3</v>
      </c>
      <c r="K106">
        <v>15.8</v>
      </c>
      <c r="L106">
        <v>0.27</v>
      </c>
      <c r="M106">
        <v>0.81</v>
      </c>
      <c r="N106">
        <v>13.6</v>
      </c>
      <c r="O106">
        <v>5.5</v>
      </c>
      <c r="P106">
        <v>50</v>
      </c>
      <c r="Q106">
        <f t="shared" si="2"/>
        <v>35.5</v>
      </c>
      <c r="R106" t="str">
        <f t="shared" si="3"/>
        <v>WIN</v>
      </c>
    </row>
    <row r="107" spans="1:18" x14ac:dyDescent="0.2">
      <c r="A107" t="s">
        <v>22</v>
      </c>
      <c r="B107" t="s">
        <v>82</v>
      </c>
      <c r="C107" t="s">
        <v>123</v>
      </c>
      <c r="D107">
        <v>6.5</v>
      </c>
      <c r="E107">
        <v>1.71</v>
      </c>
      <c r="F107" t="s">
        <v>129</v>
      </c>
      <c r="G107" t="s">
        <v>138</v>
      </c>
      <c r="H107" t="s">
        <v>147</v>
      </c>
      <c r="I107">
        <v>7.2</v>
      </c>
      <c r="J107">
        <v>72.5</v>
      </c>
      <c r="K107">
        <v>14</v>
      </c>
      <c r="L107">
        <v>0.23899999999999999</v>
      </c>
      <c r="M107">
        <v>0.82</v>
      </c>
      <c r="N107">
        <v>10.3</v>
      </c>
      <c r="O107">
        <v>5.5</v>
      </c>
      <c r="P107">
        <v>50</v>
      </c>
      <c r="Q107">
        <v>-50</v>
      </c>
      <c r="R107" t="str">
        <f t="shared" si="3"/>
        <v>LOSE</v>
      </c>
    </row>
    <row r="108" spans="1:18" x14ac:dyDescent="0.2">
      <c r="A108" t="s">
        <v>27</v>
      </c>
      <c r="B108" t="s">
        <v>121</v>
      </c>
      <c r="C108" t="s">
        <v>123</v>
      </c>
      <c r="D108">
        <v>5.5</v>
      </c>
      <c r="E108">
        <v>1.72</v>
      </c>
      <c r="F108" t="s">
        <v>131</v>
      </c>
      <c r="G108" t="s">
        <v>143</v>
      </c>
      <c r="H108" t="s">
        <v>147</v>
      </c>
      <c r="I108">
        <v>6.1</v>
      </c>
      <c r="J108">
        <v>71.900000000000006</v>
      </c>
      <c r="K108">
        <v>13.7</v>
      </c>
      <c r="L108">
        <v>0.23599999999999999</v>
      </c>
      <c r="M108">
        <v>0.86</v>
      </c>
      <c r="N108">
        <v>10.7</v>
      </c>
      <c r="O108">
        <v>9</v>
      </c>
      <c r="P108">
        <v>50</v>
      </c>
      <c r="Q108">
        <f t="shared" si="2"/>
        <v>36</v>
      </c>
      <c r="R108" t="str">
        <f t="shared" si="3"/>
        <v>WIN</v>
      </c>
    </row>
    <row r="109" spans="1:18" x14ac:dyDescent="0.2">
      <c r="E109">
        <f>AVERAGE(E2:E108)</f>
        <v>1.8987850467289729</v>
      </c>
      <c r="P109">
        <f>SUM(P2:P108)</f>
        <v>5100</v>
      </c>
      <c r="Q109">
        <f>SUM(Q2:Q108)</f>
        <v>-287</v>
      </c>
    </row>
    <row r="110" spans="1:18" x14ac:dyDescent="0.2">
      <c r="Q110" s="2">
        <f>Q109/P109</f>
        <v>-5.6274509803921569E-2</v>
      </c>
    </row>
  </sheetData>
  <autoFilter ref="A1:R110" xr:uid="{00000000-0001-0000-0000-000000000000}"/>
  <conditionalFormatting sqref="R2:R108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2025-12-23T16:13:04Z</dcterms:created>
  <dcterms:modified xsi:type="dcterms:W3CDTF">2025-12-24T08:58:15Z</dcterms:modified>
</cp:coreProperties>
</file>