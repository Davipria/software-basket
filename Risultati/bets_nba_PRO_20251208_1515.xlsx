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Risultati/"/>
    </mc:Choice>
  </mc:AlternateContent>
  <xr:revisionPtr revIDLastSave="0" documentId="13_ncr:1_{53ED6275-7F09-3B47-A255-09D12DF2CDA7}" xr6:coauthVersionLast="47" xr6:coauthVersionMax="47" xr10:uidLastSave="{00000000-0000-0000-0000-000000000000}"/>
  <bookViews>
    <workbookView xWindow="0" yWindow="640" windowWidth="28800" windowHeight="16120" xr2:uid="{00000000-000D-0000-FFFF-FFFF00000000}"/>
  </bookViews>
  <sheets>
    <sheet name="Sheet1" sheetId="1" r:id="rId1"/>
  </sheets>
  <definedNames>
    <definedName name="_xlnm._FilterDatabase" localSheetId="0" hidden="1">Sheet1!$A$1:$T$34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Q14" i="1"/>
  <c r="R14" i="1" s="1"/>
  <c r="R15" i="1"/>
  <c r="P33" i="1"/>
  <c r="Q3" i="1"/>
  <c r="R3" i="1" s="1"/>
  <c r="Q4" i="1"/>
  <c r="R4" i="1" s="1"/>
  <c r="R5" i="1"/>
  <c r="R6" i="1"/>
  <c r="Q7" i="1"/>
  <c r="R7" i="1" s="1"/>
  <c r="R8" i="1"/>
  <c r="Q9" i="1"/>
  <c r="R9" i="1" s="1"/>
  <c r="Q10" i="1"/>
  <c r="R10" i="1" s="1"/>
  <c r="R11" i="1"/>
  <c r="R12" i="1"/>
  <c r="Q13" i="1"/>
  <c r="R13" i="1" s="1"/>
  <c r="Q16" i="1"/>
  <c r="R16" i="1" s="1"/>
  <c r="R17" i="1"/>
  <c r="Q18" i="1"/>
  <c r="R18" i="1" s="1"/>
  <c r="R19" i="1"/>
  <c r="R20" i="1"/>
  <c r="Q21" i="1"/>
  <c r="R21" i="1" s="1"/>
  <c r="R22" i="1"/>
  <c r="Q23" i="1"/>
  <c r="R23" i="1" s="1"/>
  <c r="Q24" i="1"/>
  <c r="R24" i="1" s="1"/>
  <c r="R25" i="1"/>
  <c r="Q26" i="1"/>
  <c r="R26" i="1" s="1"/>
  <c r="R27" i="1"/>
  <c r="Q28" i="1"/>
  <c r="R28" i="1" s="1"/>
  <c r="Q29" i="1"/>
  <c r="R29" i="1" s="1"/>
  <c r="Q30" i="1"/>
  <c r="R30" i="1" s="1"/>
  <c r="R31" i="1"/>
  <c r="R32" i="1"/>
  <c r="R2" i="1"/>
  <c r="S3" i="1" l="1"/>
  <c r="S2" i="1"/>
  <c r="Q33" i="1"/>
  <c r="Q34" i="1" s="1"/>
  <c r="T3" i="1" l="1"/>
  <c r="T2" i="1"/>
</calcChain>
</file>

<file path=xl/sharedStrings.xml><?xml version="1.0" encoding="utf-8"?>
<sst xmlns="http://schemas.openxmlformats.org/spreadsheetml/2006/main" count="202" uniqueCount="57">
  <si>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</si>
  <si>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</si>
  <si>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</si>
  <si>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</si>
  <si>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</si>
  <si>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</si>
  <si>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</si>
  <si>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</si>
  <si>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</si>
  <si>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</si>
  <si>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</si>
  <si>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</si>
  <si>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</si>
  <si>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</si>
  <si>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</si>
  <si>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</si>
  <si>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67f638076c2d1263eaa0b9b5689ac18e</t>
  </si>
  <si>
    <t>fa9c13de1b6188669ed5766355bc2d17</t>
  </si>
  <si>
    <t>fe5ab84f0f63d8819da2233645bc68d5</t>
  </si>
  <si>
    <t>Micah Peavy</t>
  </si>
  <si>
    <t>Rudy Gobert</t>
  </si>
  <si>
    <t>Julian Champagnie</t>
  </si>
  <si>
    <t>Collin Gillespie</t>
  </si>
  <si>
    <t>Naz Reid</t>
  </si>
  <si>
    <t>De'Aaron Fox</t>
  </si>
  <si>
    <t>Grayson Allen</t>
  </si>
  <si>
    <t>Harrison Barnes</t>
  </si>
  <si>
    <t>Donte DiVincenzo</t>
  </si>
  <si>
    <t>Jaden McDaniels</t>
  </si>
  <si>
    <t>Stephon Castle</t>
  </si>
  <si>
    <t>Mark Williams</t>
  </si>
  <si>
    <t>Julius Randle</t>
  </si>
  <si>
    <t>Ryan Dunn</t>
  </si>
  <si>
    <t>Devin Vassell</t>
  </si>
  <si>
    <t>Derik Queen</t>
  </si>
  <si>
    <t>Andrew Nembhard</t>
  </si>
  <si>
    <t>Zach LaVine</t>
  </si>
  <si>
    <t>Anthony Edwards</t>
  </si>
  <si>
    <t>Dylan Harper</t>
  </si>
  <si>
    <t>Oso Ighodaro</t>
  </si>
  <si>
    <t>Royce O'Neale</t>
  </si>
  <si>
    <t>Russell Westbrook</t>
  </si>
  <si>
    <t>DeMar DeRozan</t>
  </si>
  <si>
    <t>rebounds</t>
  </si>
  <si>
    <t>points</t>
  </si>
  <si>
    <t>assists</t>
  </si>
  <si>
    <t>BetMGM</t>
  </si>
  <si>
    <t>DraftKings</t>
  </si>
  <si>
    <t>BetRivers</t>
  </si>
  <si>
    <t>FanDuel</t>
  </si>
  <si>
    <t>Bovada</t>
  </si>
  <si>
    <t>BetOnline.ag</t>
  </si>
  <si>
    <t>San Antonio Spurs @ New Orleans Pelicans</t>
  </si>
  <si>
    <t>Phoenix Suns @ Minnesota Timberwolves</t>
  </si>
  <si>
    <t>Sacramento Kings @ Indiana Pacers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</si>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</sst>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workbookViewId="0">
      <selection activeCell="E33" sqref="E33"/>
    </sheetView>
  </sheetViews>
  <sheetFormatPr baseColWidth="10" defaultColWidth="8.83203125" defaultRowHeight="15" x14ac:dyDescent="0.2"/>
  <cols>
    <col min="2" max="2" width="15.33203125" bestFit="1" customWidth="1"/>
    <col min="7" max="7" width="33.6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x14ac:dyDescent="0.2">
      <c r="A2" t="s">
        <v>16</v>
      </c>
      <c r="B2" t="s">
        <v>19</v>
      </c>
      <c r="C2" t="s">
        <v>43</v>
      </c>
      <c r="D2">
        <v>2.5</v>
      </c>
      <c r="E2">
        <v>2.1</v>
      </c>
      <c r="F2" t="s">
        <v>46</v>
      </c>
      <c r="G2" t="s">
        <v>52</v>
      </c>
      <c r="H2" t="s">
        <v>55</v>
      </c>
      <c r="I2">
        <v>3.1</v>
      </c>
      <c r="J2">
        <v>85.3</v>
      </c>
      <c r="K2">
        <v>37.6</v>
      </c>
      <c r="L2">
        <v>0.79</v>
      </c>
      <c r="M2">
        <v>0.81</v>
      </c>
      <c r="N2">
        <v>24</v>
      </c>
      <c r="O2">
        <v>9.5</v>
      </c>
      <c r="P2">
        <v>50</v>
      </c>
      <c r="Q2">
        <v>-50</v>
      </c>
      <c r="R2" t="str">
        <f>IF(Q2=-50,"LOSE","WIN")</f>
        <v>LOSE</v>
      </c>
      <c r="S2">
        <f>COUNTIF(R2:R32,"WIN")</f>
        <v>16</v>
      </c>
      <c r="T2" s="2">
        <f>S2/(S2+S3)</f>
        <v>0.5161290322580645</v>
      </c>
    </row>
    <row r="3" spans="1:20" x14ac:dyDescent="0.2">
      <c r="A3" t="s">
        <v>17</v>
      </c>
      <c r="B3" t="s">
        <v>20</v>
      </c>
      <c r="C3" t="s">
        <v>44</v>
      </c>
      <c r="D3">
        <v>9.5</v>
      </c>
      <c r="E3">
        <v>1.88</v>
      </c>
      <c r="F3" t="s">
        <v>47</v>
      </c>
      <c r="G3" t="s">
        <v>53</v>
      </c>
      <c r="H3" t="s">
        <v>55</v>
      </c>
      <c r="I3">
        <v>12.6</v>
      </c>
      <c r="J3">
        <v>93.1</v>
      </c>
      <c r="K3">
        <v>40</v>
      </c>
      <c r="L3">
        <v>0.751</v>
      </c>
      <c r="M3">
        <v>0.76</v>
      </c>
      <c r="N3">
        <v>32.6</v>
      </c>
      <c r="O3">
        <v>9.5</v>
      </c>
      <c r="P3">
        <v>50</v>
      </c>
      <c r="Q3">
        <f t="shared" ref="Q3:Q30" si="0">P3*E3-P3</f>
        <v>44</v>
      </c>
      <c r="R3" t="str">
        <f t="shared" ref="R3:R32" si="1">IF(Q3=-50,"LOSE","WIN")</f>
        <v>WIN</v>
      </c>
      <c r="S3">
        <f>COUNTIF(R2:R32,"LOSE")</f>
        <v>15</v>
      </c>
      <c r="T3" s="2">
        <f>S3/(S3+S2)</f>
        <v>0.4838709677419355</v>
      </c>
    </row>
    <row r="4" spans="1:20" x14ac:dyDescent="0.2">
      <c r="A4" t="s">
        <v>16</v>
      </c>
      <c r="B4" t="s">
        <v>21</v>
      </c>
      <c r="C4" t="s">
        <v>44</v>
      </c>
      <c r="D4">
        <v>9.5</v>
      </c>
      <c r="E4">
        <v>2</v>
      </c>
      <c r="F4" t="s">
        <v>46</v>
      </c>
      <c r="G4" t="s">
        <v>52</v>
      </c>
      <c r="H4" t="s">
        <v>55</v>
      </c>
      <c r="I4">
        <v>11.6</v>
      </c>
      <c r="J4">
        <v>86.9</v>
      </c>
      <c r="K4">
        <v>36.9</v>
      </c>
      <c r="L4">
        <v>0.73899999999999999</v>
      </c>
      <c r="M4">
        <v>0.95</v>
      </c>
      <c r="N4">
        <v>21.7</v>
      </c>
      <c r="O4">
        <v>9.5</v>
      </c>
      <c r="P4">
        <v>50</v>
      </c>
      <c r="Q4">
        <f t="shared" si="0"/>
        <v>50</v>
      </c>
      <c r="R4" t="str">
        <f t="shared" si="1"/>
        <v>WIN</v>
      </c>
    </row>
    <row r="5" spans="1:20" x14ac:dyDescent="0.2">
      <c r="A5" t="s">
        <v>17</v>
      </c>
      <c r="B5" t="s">
        <v>22</v>
      </c>
      <c r="C5" t="s">
        <v>44</v>
      </c>
      <c r="D5">
        <v>16.5</v>
      </c>
      <c r="E5">
        <v>1.91</v>
      </c>
      <c r="F5" t="s">
        <v>47</v>
      </c>
      <c r="G5" t="s">
        <v>53</v>
      </c>
      <c r="H5" t="s">
        <v>56</v>
      </c>
      <c r="I5">
        <v>13.7</v>
      </c>
      <c r="J5">
        <v>89.6</v>
      </c>
      <c r="K5">
        <v>37.299999999999997</v>
      </c>
      <c r="L5">
        <v>0.71199999999999997</v>
      </c>
      <c r="M5">
        <v>0.85</v>
      </c>
      <c r="N5">
        <v>-17.2</v>
      </c>
      <c r="O5">
        <v>9.5</v>
      </c>
      <c r="P5">
        <v>50</v>
      </c>
      <c r="Q5">
        <v>-50</v>
      </c>
      <c r="R5" t="str">
        <f t="shared" si="1"/>
        <v>LOSE</v>
      </c>
    </row>
    <row r="6" spans="1:20" x14ac:dyDescent="0.2">
      <c r="A6" t="s">
        <v>17</v>
      </c>
      <c r="B6" t="s">
        <v>23</v>
      </c>
      <c r="C6" t="s">
        <v>44</v>
      </c>
      <c r="D6">
        <v>13.5</v>
      </c>
      <c r="E6">
        <v>1.89</v>
      </c>
      <c r="F6" t="s">
        <v>47</v>
      </c>
      <c r="G6" t="s">
        <v>53</v>
      </c>
      <c r="H6" t="s">
        <v>55</v>
      </c>
      <c r="I6">
        <v>16.399999999999999</v>
      </c>
      <c r="J6">
        <v>89.4</v>
      </c>
      <c r="K6">
        <v>36.5</v>
      </c>
      <c r="L6">
        <v>0.68899999999999995</v>
      </c>
      <c r="M6">
        <v>0.84</v>
      </c>
      <c r="N6">
        <v>21.7</v>
      </c>
      <c r="O6">
        <v>9.5</v>
      </c>
      <c r="P6">
        <v>50</v>
      </c>
      <c r="Q6">
        <v>-50</v>
      </c>
      <c r="R6" t="str">
        <f t="shared" si="1"/>
        <v>LOSE</v>
      </c>
    </row>
    <row r="7" spans="1:20" x14ac:dyDescent="0.2">
      <c r="A7" t="s">
        <v>16</v>
      </c>
      <c r="B7" t="s">
        <v>24</v>
      </c>
      <c r="C7" t="s">
        <v>45</v>
      </c>
      <c r="D7">
        <v>5.5</v>
      </c>
      <c r="E7">
        <v>1.88</v>
      </c>
      <c r="F7" t="s">
        <v>48</v>
      </c>
      <c r="G7" t="s">
        <v>52</v>
      </c>
      <c r="H7" t="s">
        <v>55</v>
      </c>
      <c r="I7">
        <v>6.9</v>
      </c>
      <c r="J7">
        <v>88.6</v>
      </c>
      <c r="K7">
        <v>35.4</v>
      </c>
      <c r="L7">
        <v>0.66600000000000004</v>
      </c>
      <c r="M7">
        <v>0.8</v>
      </c>
      <c r="N7">
        <v>25.8</v>
      </c>
      <c r="O7">
        <v>9.5</v>
      </c>
      <c r="P7">
        <v>50</v>
      </c>
      <c r="Q7">
        <f t="shared" si="0"/>
        <v>44</v>
      </c>
      <c r="R7" t="str">
        <f t="shared" si="1"/>
        <v>WIN</v>
      </c>
    </row>
    <row r="8" spans="1:20" x14ac:dyDescent="0.2">
      <c r="A8" t="s">
        <v>17</v>
      </c>
      <c r="B8" t="s">
        <v>25</v>
      </c>
      <c r="C8" t="s">
        <v>44</v>
      </c>
      <c r="D8">
        <v>16.5</v>
      </c>
      <c r="E8">
        <v>1.96</v>
      </c>
      <c r="F8" t="s">
        <v>48</v>
      </c>
      <c r="G8" t="s">
        <v>53</v>
      </c>
      <c r="H8" t="s">
        <v>55</v>
      </c>
      <c r="I8">
        <v>19</v>
      </c>
      <c r="J8">
        <v>84.2</v>
      </c>
      <c r="K8">
        <v>33.200000000000003</v>
      </c>
      <c r="L8">
        <v>0.65</v>
      </c>
      <c r="M8">
        <v>0.95</v>
      </c>
      <c r="N8">
        <v>15.2</v>
      </c>
      <c r="O8">
        <v>9.5</v>
      </c>
      <c r="P8">
        <v>50</v>
      </c>
      <c r="Q8">
        <v>-50</v>
      </c>
      <c r="R8" t="str">
        <f t="shared" si="1"/>
        <v>LOSE</v>
      </c>
    </row>
    <row r="9" spans="1:20" x14ac:dyDescent="0.2">
      <c r="A9" t="s">
        <v>16</v>
      </c>
      <c r="B9" t="s">
        <v>26</v>
      </c>
      <c r="C9" t="s">
        <v>44</v>
      </c>
      <c r="D9">
        <v>12.5</v>
      </c>
      <c r="E9">
        <v>1.95</v>
      </c>
      <c r="F9" t="s">
        <v>46</v>
      </c>
      <c r="G9" t="s">
        <v>52</v>
      </c>
      <c r="H9" t="s">
        <v>55</v>
      </c>
      <c r="I9">
        <v>15.1</v>
      </c>
      <c r="J9">
        <v>83.2</v>
      </c>
      <c r="K9">
        <v>31.9</v>
      </c>
      <c r="L9">
        <v>0.622</v>
      </c>
      <c r="M9">
        <v>0.73</v>
      </c>
      <c r="N9">
        <v>21</v>
      </c>
      <c r="O9">
        <v>9.5</v>
      </c>
      <c r="P9">
        <v>50</v>
      </c>
      <c r="Q9">
        <f t="shared" si="0"/>
        <v>47.5</v>
      </c>
      <c r="R9" t="str">
        <f t="shared" si="1"/>
        <v>WIN</v>
      </c>
    </row>
    <row r="10" spans="1:20" x14ac:dyDescent="0.2">
      <c r="A10" t="s">
        <v>17</v>
      </c>
      <c r="B10" t="s">
        <v>27</v>
      </c>
      <c r="C10" t="s">
        <v>44</v>
      </c>
      <c r="D10">
        <v>13.5</v>
      </c>
      <c r="E10">
        <v>1.82</v>
      </c>
      <c r="F10" t="s">
        <v>49</v>
      </c>
      <c r="G10" t="s">
        <v>53</v>
      </c>
      <c r="H10" t="s">
        <v>56</v>
      </c>
      <c r="I10">
        <v>11.3</v>
      </c>
      <c r="J10">
        <v>88</v>
      </c>
      <c r="K10">
        <v>33</v>
      </c>
      <c r="L10">
        <v>0.60099999999999998</v>
      </c>
      <c r="M10">
        <v>0.84</v>
      </c>
      <c r="N10">
        <v>-16</v>
      </c>
      <c r="O10">
        <v>9.5</v>
      </c>
      <c r="P10">
        <v>50</v>
      </c>
      <c r="Q10">
        <f t="shared" si="0"/>
        <v>41</v>
      </c>
      <c r="R10" t="str">
        <f t="shared" si="1"/>
        <v>WIN</v>
      </c>
    </row>
    <row r="11" spans="1:20" x14ac:dyDescent="0.2">
      <c r="A11" t="s">
        <v>17</v>
      </c>
      <c r="B11" t="s">
        <v>28</v>
      </c>
      <c r="C11" t="s">
        <v>44</v>
      </c>
      <c r="D11">
        <v>13.5</v>
      </c>
      <c r="E11">
        <v>1.91</v>
      </c>
      <c r="F11" t="s">
        <v>47</v>
      </c>
      <c r="G11" t="s">
        <v>53</v>
      </c>
      <c r="H11" t="s">
        <v>55</v>
      </c>
      <c r="I11">
        <v>15.6</v>
      </c>
      <c r="J11">
        <v>83.7</v>
      </c>
      <c r="K11">
        <v>31.3</v>
      </c>
      <c r="L11">
        <v>0.59899999999999998</v>
      </c>
      <c r="M11">
        <v>0.9</v>
      </c>
      <c r="N11">
        <v>15.3</v>
      </c>
      <c r="O11">
        <v>9.5</v>
      </c>
      <c r="P11">
        <v>50</v>
      </c>
      <c r="Q11">
        <v>-50</v>
      </c>
      <c r="R11" t="str">
        <f t="shared" si="1"/>
        <v>LOSE</v>
      </c>
    </row>
    <row r="12" spans="1:20" x14ac:dyDescent="0.2">
      <c r="A12" t="s">
        <v>17</v>
      </c>
      <c r="B12" t="s">
        <v>20</v>
      </c>
      <c r="C12" t="s">
        <v>45</v>
      </c>
      <c r="D12">
        <v>1.5</v>
      </c>
      <c r="E12">
        <v>1.65</v>
      </c>
      <c r="F12" t="s">
        <v>46</v>
      </c>
      <c r="G12" t="s">
        <v>53</v>
      </c>
      <c r="H12" t="s">
        <v>55</v>
      </c>
      <c r="I12">
        <v>2.4</v>
      </c>
      <c r="J12">
        <v>95.7</v>
      </c>
      <c r="K12">
        <v>35.1</v>
      </c>
      <c r="L12">
        <v>0.57899999999999996</v>
      </c>
      <c r="M12">
        <v>0.76</v>
      </c>
      <c r="N12">
        <v>56.7</v>
      </c>
      <c r="O12">
        <v>9.5</v>
      </c>
      <c r="P12">
        <v>50</v>
      </c>
      <c r="Q12">
        <v>-50</v>
      </c>
      <c r="R12" t="str">
        <f t="shared" si="1"/>
        <v>LOSE</v>
      </c>
    </row>
    <row r="13" spans="1:20" x14ac:dyDescent="0.2">
      <c r="A13" t="s">
        <v>16</v>
      </c>
      <c r="B13" t="s">
        <v>29</v>
      </c>
      <c r="C13" t="s">
        <v>43</v>
      </c>
      <c r="D13">
        <v>4.5</v>
      </c>
      <c r="E13">
        <v>1.61</v>
      </c>
      <c r="F13" t="s">
        <v>50</v>
      </c>
      <c r="G13" t="s">
        <v>52</v>
      </c>
      <c r="H13" t="s">
        <v>55</v>
      </c>
      <c r="I13">
        <v>5.9</v>
      </c>
      <c r="J13">
        <v>94.8</v>
      </c>
      <c r="K13">
        <v>32.700000000000003</v>
      </c>
      <c r="L13">
        <v>0.52600000000000002</v>
      </c>
      <c r="M13">
        <v>0.85</v>
      </c>
      <c r="N13">
        <v>30.9</v>
      </c>
      <c r="O13">
        <v>9.5</v>
      </c>
      <c r="P13">
        <v>50</v>
      </c>
      <c r="Q13">
        <f t="shared" si="0"/>
        <v>30.5</v>
      </c>
      <c r="R13" t="str">
        <f t="shared" si="1"/>
        <v>WIN</v>
      </c>
    </row>
    <row r="14" spans="1:20" x14ac:dyDescent="0.2">
      <c r="A14" t="s">
        <v>17</v>
      </c>
      <c r="B14" t="s">
        <v>30</v>
      </c>
      <c r="C14" t="s">
        <v>44</v>
      </c>
      <c r="D14">
        <v>11.5</v>
      </c>
      <c r="E14">
        <v>1.89</v>
      </c>
      <c r="F14" t="s">
        <v>48</v>
      </c>
      <c r="G14" t="s">
        <v>53</v>
      </c>
      <c r="H14" t="s">
        <v>55</v>
      </c>
      <c r="I14">
        <v>13.4</v>
      </c>
      <c r="J14">
        <v>80.3</v>
      </c>
      <c r="K14">
        <v>27.4</v>
      </c>
      <c r="L14">
        <v>0.51700000000000002</v>
      </c>
      <c r="M14">
        <v>0.84</v>
      </c>
      <c r="N14">
        <v>16.600000000000001</v>
      </c>
      <c r="O14">
        <v>9.5</v>
      </c>
      <c r="P14">
        <v>50</v>
      </c>
      <c r="Q14">
        <f t="shared" si="0"/>
        <v>44.5</v>
      </c>
      <c r="R14" t="str">
        <f t="shared" si="1"/>
        <v>WIN</v>
      </c>
    </row>
    <row r="15" spans="1:20" x14ac:dyDescent="0.2">
      <c r="A15" t="s">
        <v>17</v>
      </c>
      <c r="B15" t="s">
        <v>31</v>
      </c>
      <c r="C15" t="s">
        <v>43</v>
      </c>
      <c r="D15">
        <v>6.5</v>
      </c>
      <c r="E15">
        <v>1.77</v>
      </c>
      <c r="F15" t="s">
        <v>50</v>
      </c>
      <c r="G15" t="s">
        <v>53</v>
      </c>
      <c r="H15" t="s">
        <v>55</v>
      </c>
      <c r="I15">
        <v>7.2</v>
      </c>
      <c r="J15">
        <v>83.8</v>
      </c>
      <c r="K15">
        <v>27.3</v>
      </c>
      <c r="L15">
        <v>0.48399999999999999</v>
      </c>
      <c r="M15">
        <v>0.95</v>
      </c>
      <c r="N15">
        <v>11.2</v>
      </c>
      <c r="O15">
        <v>9.5</v>
      </c>
      <c r="P15">
        <v>50</v>
      </c>
      <c r="Q15">
        <v>-50</v>
      </c>
      <c r="R15" t="str">
        <f t="shared" si="1"/>
        <v>LOSE</v>
      </c>
    </row>
    <row r="16" spans="1:20" x14ac:dyDescent="0.2">
      <c r="A16" t="s">
        <v>17</v>
      </c>
      <c r="B16" t="s">
        <v>32</v>
      </c>
      <c r="C16" t="s">
        <v>43</v>
      </c>
      <c r="D16">
        <v>4.5</v>
      </c>
      <c r="E16">
        <v>1.92</v>
      </c>
      <c r="F16" t="s">
        <v>51</v>
      </c>
      <c r="G16" t="s">
        <v>53</v>
      </c>
      <c r="H16" t="s">
        <v>55</v>
      </c>
      <c r="I16">
        <v>5</v>
      </c>
      <c r="J16">
        <v>76.400000000000006</v>
      </c>
      <c r="K16">
        <v>24.3</v>
      </c>
      <c r="L16">
        <v>0.46600000000000003</v>
      </c>
      <c r="M16">
        <v>0.95</v>
      </c>
      <c r="N16">
        <v>12</v>
      </c>
      <c r="O16">
        <v>9.5</v>
      </c>
      <c r="P16">
        <v>50</v>
      </c>
      <c r="Q16">
        <f t="shared" si="0"/>
        <v>46</v>
      </c>
      <c r="R16" t="str">
        <f t="shared" si="1"/>
        <v>WIN</v>
      </c>
    </row>
    <row r="17" spans="1:18" x14ac:dyDescent="0.2">
      <c r="A17" t="s">
        <v>16</v>
      </c>
      <c r="B17" t="s">
        <v>33</v>
      </c>
      <c r="C17" t="s">
        <v>43</v>
      </c>
      <c r="D17">
        <v>3.5</v>
      </c>
      <c r="E17">
        <v>1.74</v>
      </c>
      <c r="F17" t="s">
        <v>49</v>
      </c>
      <c r="G17" t="s">
        <v>52</v>
      </c>
      <c r="H17" t="s">
        <v>55</v>
      </c>
      <c r="I17">
        <v>4</v>
      </c>
      <c r="J17">
        <v>83.9</v>
      </c>
      <c r="K17">
        <v>26.4</v>
      </c>
      <c r="L17">
        <v>0.46</v>
      </c>
      <c r="M17">
        <v>0.95</v>
      </c>
      <c r="N17">
        <v>15.4</v>
      </c>
      <c r="O17">
        <v>9.5</v>
      </c>
      <c r="P17">
        <v>50</v>
      </c>
      <c r="Q17">
        <v>-50</v>
      </c>
      <c r="R17" t="str">
        <f t="shared" si="1"/>
        <v>LOSE</v>
      </c>
    </row>
    <row r="18" spans="1:18" x14ac:dyDescent="0.2">
      <c r="A18" t="s">
        <v>17</v>
      </c>
      <c r="B18" t="s">
        <v>28</v>
      </c>
      <c r="C18" t="s">
        <v>45</v>
      </c>
      <c r="D18">
        <v>2.5</v>
      </c>
      <c r="E18">
        <v>1.98</v>
      </c>
      <c r="F18" t="s">
        <v>51</v>
      </c>
      <c r="G18" t="s">
        <v>53</v>
      </c>
      <c r="H18" t="s">
        <v>55</v>
      </c>
      <c r="I18">
        <v>2.8</v>
      </c>
      <c r="J18">
        <v>73.5</v>
      </c>
      <c r="K18">
        <v>23</v>
      </c>
      <c r="L18">
        <v>0.45600000000000002</v>
      </c>
      <c r="M18">
        <v>0.93</v>
      </c>
      <c r="N18">
        <v>10.8</v>
      </c>
      <c r="O18">
        <v>9.5</v>
      </c>
      <c r="P18">
        <v>50</v>
      </c>
      <c r="Q18">
        <f t="shared" si="0"/>
        <v>49</v>
      </c>
      <c r="R18" t="str">
        <f t="shared" si="1"/>
        <v>WIN</v>
      </c>
    </row>
    <row r="19" spans="1:18" x14ac:dyDescent="0.2">
      <c r="A19" t="s">
        <v>16</v>
      </c>
      <c r="B19" t="s">
        <v>34</v>
      </c>
      <c r="C19" t="s">
        <v>44</v>
      </c>
      <c r="D19">
        <v>13.5</v>
      </c>
      <c r="E19">
        <v>1.69</v>
      </c>
      <c r="F19" t="s">
        <v>50</v>
      </c>
      <c r="G19" t="s">
        <v>52</v>
      </c>
      <c r="H19" t="s">
        <v>56</v>
      </c>
      <c r="I19">
        <v>11.1</v>
      </c>
      <c r="J19">
        <v>85.5</v>
      </c>
      <c r="K19">
        <v>26.3</v>
      </c>
      <c r="L19">
        <v>0.44400000000000001</v>
      </c>
      <c r="M19">
        <v>0.92</v>
      </c>
      <c r="N19">
        <v>-17.8</v>
      </c>
      <c r="O19">
        <v>9.5</v>
      </c>
      <c r="P19">
        <v>50</v>
      </c>
      <c r="Q19">
        <v>-50</v>
      </c>
      <c r="R19" t="str">
        <f t="shared" si="1"/>
        <v>LOSE</v>
      </c>
    </row>
    <row r="20" spans="1:18" x14ac:dyDescent="0.2">
      <c r="A20" t="s">
        <v>18</v>
      </c>
      <c r="B20" t="s">
        <v>35</v>
      </c>
      <c r="C20" t="s">
        <v>45</v>
      </c>
      <c r="D20">
        <v>7.5</v>
      </c>
      <c r="E20">
        <v>1.62</v>
      </c>
      <c r="F20" t="s">
        <v>50</v>
      </c>
      <c r="G20" t="s">
        <v>54</v>
      </c>
      <c r="H20" t="s">
        <v>56</v>
      </c>
      <c r="I20">
        <v>6.6</v>
      </c>
      <c r="J20">
        <v>88.8</v>
      </c>
      <c r="K20">
        <v>27.1</v>
      </c>
      <c r="L20">
        <v>0.439</v>
      </c>
      <c r="M20">
        <v>0.74</v>
      </c>
      <c r="N20">
        <v>-12</v>
      </c>
      <c r="O20">
        <v>3.5</v>
      </c>
      <c r="P20">
        <v>50</v>
      </c>
      <c r="Q20">
        <v>-50</v>
      </c>
      <c r="R20" t="str">
        <f t="shared" si="1"/>
        <v>LOSE</v>
      </c>
    </row>
    <row r="21" spans="1:18" x14ac:dyDescent="0.2">
      <c r="A21" t="s">
        <v>18</v>
      </c>
      <c r="B21" t="s">
        <v>36</v>
      </c>
      <c r="C21" t="s">
        <v>44</v>
      </c>
      <c r="D21">
        <v>21.5</v>
      </c>
      <c r="E21">
        <v>1.91</v>
      </c>
      <c r="F21" t="s">
        <v>50</v>
      </c>
      <c r="G21" t="s">
        <v>54</v>
      </c>
      <c r="H21" t="s">
        <v>56</v>
      </c>
      <c r="I21">
        <v>18.8</v>
      </c>
      <c r="J21">
        <v>74.5</v>
      </c>
      <c r="K21">
        <v>22.1</v>
      </c>
      <c r="L21">
        <v>0.42199999999999999</v>
      </c>
      <c r="M21">
        <v>0.76</v>
      </c>
      <c r="N21">
        <v>-12.3</v>
      </c>
      <c r="O21">
        <v>3.5</v>
      </c>
      <c r="P21">
        <v>50</v>
      </c>
      <c r="Q21">
        <f t="shared" si="0"/>
        <v>45.5</v>
      </c>
      <c r="R21" t="str">
        <f t="shared" si="1"/>
        <v>WIN</v>
      </c>
    </row>
    <row r="22" spans="1:18" x14ac:dyDescent="0.2">
      <c r="A22" t="s">
        <v>17</v>
      </c>
      <c r="B22" t="s">
        <v>20</v>
      </c>
      <c r="C22" t="s">
        <v>43</v>
      </c>
      <c r="D22">
        <v>9.5</v>
      </c>
      <c r="E22">
        <v>1.69</v>
      </c>
      <c r="F22" t="s">
        <v>50</v>
      </c>
      <c r="G22" t="s">
        <v>53</v>
      </c>
      <c r="H22" t="s">
        <v>55</v>
      </c>
      <c r="I22">
        <v>10.8</v>
      </c>
      <c r="J22">
        <v>83</v>
      </c>
      <c r="K22">
        <v>23.8</v>
      </c>
      <c r="L22">
        <v>0.40300000000000002</v>
      </c>
      <c r="M22">
        <v>0.79</v>
      </c>
      <c r="N22">
        <v>13.9</v>
      </c>
      <c r="O22">
        <v>9.5</v>
      </c>
      <c r="P22">
        <v>50</v>
      </c>
      <c r="Q22">
        <v>-50</v>
      </c>
      <c r="R22" t="str">
        <f t="shared" si="1"/>
        <v>LOSE</v>
      </c>
    </row>
    <row r="23" spans="1:18" x14ac:dyDescent="0.2">
      <c r="A23" t="s">
        <v>17</v>
      </c>
      <c r="B23" t="s">
        <v>27</v>
      </c>
      <c r="C23" t="s">
        <v>43</v>
      </c>
      <c r="D23">
        <v>3.5</v>
      </c>
      <c r="E23">
        <v>1.7</v>
      </c>
      <c r="F23" t="s">
        <v>48</v>
      </c>
      <c r="G23" t="s">
        <v>53</v>
      </c>
      <c r="H23" t="s">
        <v>55</v>
      </c>
      <c r="I23">
        <v>4</v>
      </c>
      <c r="J23">
        <v>80.3</v>
      </c>
      <c r="K23">
        <v>21.5</v>
      </c>
      <c r="L23">
        <v>0.36499999999999999</v>
      </c>
      <c r="M23">
        <v>0.86</v>
      </c>
      <c r="N23">
        <v>15.7</v>
      </c>
      <c r="O23">
        <v>9.5</v>
      </c>
      <c r="P23">
        <v>50</v>
      </c>
      <c r="Q23">
        <f t="shared" si="0"/>
        <v>35</v>
      </c>
      <c r="R23" t="str">
        <f t="shared" si="1"/>
        <v>WIN</v>
      </c>
    </row>
    <row r="24" spans="1:18" x14ac:dyDescent="0.2">
      <c r="A24" t="s">
        <v>16</v>
      </c>
      <c r="B24" t="s">
        <v>29</v>
      </c>
      <c r="C24" t="s">
        <v>44</v>
      </c>
      <c r="D24">
        <v>14.5</v>
      </c>
      <c r="E24">
        <v>1.62</v>
      </c>
      <c r="F24" t="s">
        <v>50</v>
      </c>
      <c r="G24" t="s">
        <v>52</v>
      </c>
      <c r="H24" t="s">
        <v>55</v>
      </c>
      <c r="I24">
        <v>17</v>
      </c>
      <c r="J24">
        <v>84</v>
      </c>
      <c r="K24">
        <v>22.2</v>
      </c>
      <c r="L24">
        <v>0.36</v>
      </c>
      <c r="M24">
        <v>0.72</v>
      </c>
      <c r="N24">
        <v>17.3</v>
      </c>
      <c r="O24">
        <v>9.5</v>
      </c>
      <c r="P24">
        <v>50</v>
      </c>
      <c r="Q24">
        <f t="shared" si="0"/>
        <v>31</v>
      </c>
      <c r="R24" t="str">
        <f t="shared" si="1"/>
        <v>WIN</v>
      </c>
    </row>
    <row r="25" spans="1:18" x14ac:dyDescent="0.2">
      <c r="A25" t="s">
        <v>17</v>
      </c>
      <c r="B25" t="s">
        <v>37</v>
      </c>
      <c r="C25" t="s">
        <v>44</v>
      </c>
      <c r="D25">
        <v>31.5</v>
      </c>
      <c r="E25">
        <v>1.61</v>
      </c>
      <c r="F25" t="s">
        <v>50</v>
      </c>
      <c r="G25" t="s">
        <v>53</v>
      </c>
      <c r="H25" t="s">
        <v>56</v>
      </c>
      <c r="I25">
        <v>27.3</v>
      </c>
      <c r="J25">
        <v>82.7</v>
      </c>
      <c r="K25">
        <v>20.6</v>
      </c>
      <c r="L25">
        <v>0.33100000000000002</v>
      </c>
      <c r="M25">
        <v>0.81</v>
      </c>
      <c r="N25">
        <v>-13.2</v>
      </c>
      <c r="O25">
        <v>9.5</v>
      </c>
      <c r="P25">
        <v>50</v>
      </c>
      <c r="Q25">
        <v>-50</v>
      </c>
      <c r="R25" t="str">
        <f t="shared" si="1"/>
        <v>LOSE</v>
      </c>
    </row>
    <row r="26" spans="1:18" x14ac:dyDescent="0.2">
      <c r="A26" t="s">
        <v>16</v>
      </c>
      <c r="B26" t="s">
        <v>26</v>
      </c>
      <c r="C26" t="s">
        <v>43</v>
      </c>
      <c r="D26">
        <v>4.5</v>
      </c>
      <c r="E26">
        <v>1.62</v>
      </c>
      <c r="F26" t="s">
        <v>51</v>
      </c>
      <c r="G26" t="s">
        <v>52</v>
      </c>
      <c r="H26" t="s">
        <v>56</v>
      </c>
      <c r="I26">
        <v>3.9</v>
      </c>
      <c r="J26">
        <v>81.599999999999994</v>
      </c>
      <c r="K26">
        <v>19.899999999999999</v>
      </c>
      <c r="L26">
        <v>0.32200000000000001</v>
      </c>
      <c r="M26">
        <v>0.76</v>
      </c>
      <c r="N26">
        <v>-12.7</v>
      </c>
      <c r="O26">
        <v>9.5</v>
      </c>
      <c r="P26">
        <v>50</v>
      </c>
      <c r="Q26">
        <f t="shared" si="0"/>
        <v>31</v>
      </c>
      <c r="R26" t="str">
        <f t="shared" si="1"/>
        <v>WIN</v>
      </c>
    </row>
    <row r="27" spans="1:18" x14ac:dyDescent="0.2">
      <c r="A27" t="s">
        <v>16</v>
      </c>
      <c r="B27" t="s">
        <v>34</v>
      </c>
      <c r="C27" t="s">
        <v>45</v>
      </c>
      <c r="D27">
        <v>4.5</v>
      </c>
      <c r="E27">
        <v>1.63</v>
      </c>
      <c r="F27" t="s">
        <v>47</v>
      </c>
      <c r="G27" t="s">
        <v>52</v>
      </c>
      <c r="H27" t="s">
        <v>56</v>
      </c>
      <c r="I27">
        <v>3.6</v>
      </c>
      <c r="J27">
        <v>80.8</v>
      </c>
      <c r="K27">
        <v>19.5</v>
      </c>
      <c r="L27">
        <v>0.317</v>
      </c>
      <c r="M27">
        <v>0.8</v>
      </c>
      <c r="N27">
        <v>-20.399999999999999</v>
      </c>
      <c r="O27">
        <v>9.5</v>
      </c>
      <c r="P27">
        <v>50</v>
      </c>
      <c r="Q27">
        <v>-50</v>
      </c>
      <c r="R27" t="str">
        <f t="shared" si="1"/>
        <v>LOSE</v>
      </c>
    </row>
    <row r="28" spans="1:18" x14ac:dyDescent="0.2">
      <c r="A28" t="s">
        <v>16</v>
      </c>
      <c r="B28" t="s">
        <v>38</v>
      </c>
      <c r="C28" t="s">
        <v>44</v>
      </c>
      <c r="D28">
        <v>12.5</v>
      </c>
      <c r="E28">
        <v>1.62</v>
      </c>
      <c r="F28" t="s">
        <v>50</v>
      </c>
      <c r="G28" t="s">
        <v>52</v>
      </c>
      <c r="H28" t="s">
        <v>55</v>
      </c>
      <c r="I28">
        <v>13.9</v>
      </c>
      <c r="J28">
        <v>80.2</v>
      </c>
      <c r="K28">
        <v>18.5</v>
      </c>
      <c r="L28">
        <v>0.29899999999999999</v>
      </c>
      <c r="M28">
        <v>0.84</v>
      </c>
      <c r="N28">
        <v>11.5</v>
      </c>
      <c r="O28">
        <v>9.5</v>
      </c>
      <c r="P28">
        <v>50</v>
      </c>
      <c r="Q28">
        <f t="shared" si="0"/>
        <v>31</v>
      </c>
      <c r="R28" t="str">
        <f t="shared" si="1"/>
        <v>WIN</v>
      </c>
    </row>
    <row r="29" spans="1:18" x14ac:dyDescent="0.2">
      <c r="A29" t="s">
        <v>17</v>
      </c>
      <c r="B29" t="s">
        <v>39</v>
      </c>
      <c r="C29" t="s">
        <v>43</v>
      </c>
      <c r="D29">
        <v>3.5</v>
      </c>
      <c r="E29">
        <v>1.69</v>
      </c>
      <c r="F29" t="s">
        <v>50</v>
      </c>
      <c r="G29" t="s">
        <v>53</v>
      </c>
      <c r="H29" t="s">
        <v>55</v>
      </c>
      <c r="I29">
        <v>4</v>
      </c>
      <c r="J29">
        <v>76.7</v>
      </c>
      <c r="K29">
        <v>17.5</v>
      </c>
      <c r="L29">
        <v>0.29599999999999999</v>
      </c>
      <c r="M29">
        <v>0.84</v>
      </c>
      <c r="N29">
        <v>15.7</v>
      </c>
      <c r="O29">
        <v>9.5</v>
      </c>
      <c r="P29">
        <v>50</v>
      </c>
      <c r="Q29">
        <f t="shared" si="0"/>
        <v>34.5</v>
      </c>
      <c r="R29" t="str">
        <f t="shared" si="1"/>
        <v>WIN</v>
      </c>
    </row>
    <row r="30" spans="1:18" x14ac:dyDescent="0.2">
      <c r="A30" t="s">
        <v>17</v>
      </c>
      <c r="B30" t="s">
        <v>40</v>
      </c>
      <c r="C30" t="s">
        <v>44</v>
      </c>
      <c r="D30">
        <v>8.5</v>
      </c>
      <c r="E30">
        <v>1.62</v>
      </c>
      <c r="F30" t="s">
        <v>50</v>
      </c>
      <c r="G30" t="s">
        <v>53</v>
      </c>
      <c r="H30" t="s">
        <v>55</v>
      </c>
      <c r="I30">
        <v>9.8000000000000007</v>
      </c>
      <c r="J30">
        <v>79.7</v>
      </c>
      <c r="K30">
        <v>17.899999999999999</v>
      </c>
      <c r="L30">
        <v>0.28999999999999998</v>
      </c>
      <c r="M30">
        <v>0.89</v>
      </c>
      <c r="N30">
        <v>14.9</v>
      </c>
      <c r="O30">
        <v>9.5</v>
      </c>
      <c r="P30">
        <v>50</v>
      </c>
      <c r="Q30">
        <f t="shared" si="0"/>
        <v>31</v>
      </c>
      <c r="R30" t="str">
        <f t="shared" si="1"/>
        <v>WIN</v>
      </c>
    </row>
    <row r="31" spans="1:18" x14ac:dyDescent="0.2">
      <c r="A31" t="s">
        <v>18</v>
      </c>
      <c r="B31" t="s">
        <v>41</v>
      </c>
      <c r="C31" t="s">
        <v>45</v>
      </c>
      <c r="D31">
        <v>7.5</v>
      </c>
      <c r="E31">
        <v>1.7</v>
      </c>
      <c r="F31" t="s">
        <v>48</v>
      </c>
      <c r="G31" t="s">
        <v>54</v>
      </c>
      <c r="H31" t="s">
        <v>56</v>
      </c>
      <c r="I31">
        <v>6.6</v>
      </c>
      <c r="J31">
        <v>74.5</v>
      </c>
      <c r="K31">
        <v>15.6</v>
      </c>
      <c r="L31">
        <v>0.26600000000000001</v>
      </c>
      <c r="M31">
        <v>0.78</v>
      </c>
      <c r="N31">
        <v>-11.9</v>
      </c>
      <c r="O31">
        <v>3.5</v>
      </c>
      <c r="P31">
        <v>50</v>
      </c>
      <c r="Q31">
        <v>-50</v>
      </c>
      <c r="R31" t="str">
        <f t="shared" si="1"/>
        <v>LOSE</v>
      </c>
    </row>
    <row r="32" spans="1:18" x14ac:dyDescent="0.2">
      <c r="A32" t="s">
        <v>18</v>
      </c>
      <c r="B32" t="s">
        <v>42</v>
      </c>
      <c r="C32" t="s">
        <v>45</v>
      </c>
      <c r="D32">
        <v>3.5</v>
      </c>
      <c r="E32">
        <v>1.77</v>
      </c>
      <c r="F32" t="s">
        <v>46</v>
      </c>
      <c r="G32" t="s">
        <v>54</v>
      </c>
      <c r="H32" t="s">
        <v>55</v>
      </c>
      <c r="I32">
        <v>3.9</v>
      </c>
      <c r="J32">
        <v>70.2</v>
      </c>
      <c r="K32">
        <v>13.7</v>
      </c>
      <c r="L32">
        <v>0.24199999999999999</v>
      </c>
      <c r="M32">
        <v>0.81</v>
      </c>
      <c r="N32">
        <v>10.9</v>
      </c>
      <c r="O32">
        <v>3.5</v>
      </c>
      <c r="P32">
        <v>50</v>
      </c>
      <c r="Q32">
        <v>-50</v>
      </c>
      <c r="R32" t="str">
        <f t="shared" si="1"/>
        <v>LOSE</v>
      </c>
    </row>
    <row r="33" spans="5:17" x14ac:dyDescent="0.2">
      <c r="E33">
        <f>AVERAGE(E2:E32)</f>
        <v>1.7854838709677414</v>
      </c>
      <c r="P33">
        <f>SUM(P2:P32)</f>
        <v>1550</v>
      </c>
      <c r="Q33">
        <f>SUM(Q2:Q32)</f>
        <v>-114.5</v>
      </c>
    </row>
    <row r="34" spans="5:17" x14ac:dyDescent="0.2">
      <c r="Q34" s="2">
        <f>Q33/P33</f>
        <v>-7.3870967741935481E-2</v>
      </c>
    </row>
  </sheetData>
  <autoFilter ref="A1:T34" xr:uid="{00000000-0001-0000-0000-000000000000}"/>
  <conditionalFormatting sqref="R2:R34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2025-12-08T14:15:30Z</dcterms:created>
  <dcterms:modified xsi:type="dcterms:W3CDTF">2025-12-17T17:04:46Z</dcterms:modified>
</cp:coreProperties>
</file>