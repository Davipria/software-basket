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AD93A76A-8C66-F14F-B7A7-D6E4B842DB44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R17" i="1"/>
  <c r="P31" i="1"/>
  <c r="Q3" i="1"/>
  <c r="R3" i="1" s="1"/>
  <c r="R5" i="1"/>
  <c r="R6" i="1"/>
  <c r="R7" i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R15" i="1"/>
  <c r="Q16" i="1"/>
  <c r="R16" i="1" s="1"/>
  <c r="R18" i="1"/>
  <c r="R19" i="1"/>
  <c r="R20" i="1"/>
  <c r="Q21" i="1"/>
  <c r="R21" i="1" s="1"/>
  <c r="R22" i="1"/>
  <c r="R23" i="1"/>
  <c r="Q24" i="1"/>
  <c r="R24" i="1" s="1"/>
  <c r="R25" i="1"/>
  <c r="R26" i="1"/>
  <c r="R27" i="1"/>
  <c r="Q28" i="1"/>
  <c r="R28" i="1" s="1"/>
  <c r="Q29" i="1"/>
  <c r="R29" i="1" s="1"/>
  <c r="Q30" i="1"/>
  <c r="R30" i="1" s="1"/>
  <c r="Q2" i="1"/>
  <c r="R2" i="1" s="1"/>
  <c r="Q31" i="1" l="1"/>
  <c r="Q32" i="1" s="1"/>
  <c r="S3" i="1"/>
  <c r="S2" i="1"/>
  <c r="R4" i="1"/>
  <c r="T2" i="1" l="1"/>
  <c r="T3" i="1"/>
</calcChain>
</file>

<file path=xl/sharedStrings.xml><?xml version="1.0" encoding="utf-8"?>
<sst xmlns="http://schemas.openxmlformats.org/spreadsheetml/2006/main" count="190" uniqueCount="53">
  <si>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</si>
  <si>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</si>
  <si>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</si>
  <si>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</si>
  <si>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</si>
  <si>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</si>
  <si>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</si>
  <si>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</si>
  <si>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</si>
  <si>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</si>
  <si>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</si>
  <si>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</si>
  <si>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</si>
  <si>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</si>
  <si>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</si>
  <si>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</si>
  <si>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2bb4fb503eee5d6ccee6f70bb183ba0f</t>
  </si>
  <si>
    <t>a5415e46c5fcbe0d07e9354d57ac89f5</t>
  </si>
  <si>
    <t>Victor Wembanyama</t>
  </si>
  <si>
    <t>Isaiah Hartenstein</t>
  </si>
  <si>
    <t>Dylan Harper</t>
  </si>
  <si>
    <t>Keldon Johnson</t>
  </si>
  <si>
    <t>Anthony Black</t>
  </si>
  <si>
    <t>Luke Kornet</t>
  </si>
  <si>
    <t>Chet Holmgren</t>
  </si>
  <si>
    <t>Wendell Carter Jr</t>
  </si>
  <si>
    <t>Devin Vassell</t>
  </si>
  <si>
    <t>Julian Champagnie</t>
  </si>
  <si>
    <t>Cason Wallace</t>
  </si>
  <si>
    <t>Stephon Castle</t>
  </si>
  <si>
    <t>Mitchell Robinson</t>
  </si>
  <si>
    <t>Karl-Anthony Towns</t>
  </si>
  <si>
    <t>Goga Bitadze</t>
  </si>
  <si>
    <t>Harrison Barnes</t>
  </si>
  <si>
    <t>Desmond Bane</t>
  </si>
  <si>
    <t>Tyus Jones</t>
  </si>
  <si>
    <t>Shai Gilgeous-Alexander</t>
  </si>
  <si>
    <t>Mikal Bridges</t>
  </si>
  <si>
    <t>Josh Hart</t>
  </si>
  <si>
    <t>points</t>
  </si>
  <si>
    <t>rebounds</t>
  </si>
  <si>
    <t>assists</t>
  </si>
  <si>
    <t>BetMGM</t>
  </si>
  <si>
    <t>BetOnline.ag</t>
  </si>
  <si>
    <t>Bovada</t>
  </si>
  <si>
    <t>FanDuel</t>
  </si>
  <si>
    <t>DraftKings</t>
  </si>
  <si>
    <t>Pinnacle</t>
  </si>
  <si>
    <t>BetRivers</t>
  </si>
  <si>
    <t>San Antonio Spurs @ Oklahoma City Thunder</t>
  </si>
  <si>
    <t>New York Knicks @ Orlando Magic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</si>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</sst>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2" applyNumberFormat="1" applyFont="1"/>
    <xf numFmtId="44" fontId="0" fillId="0" borderId="0" xfId="1" applyFont="1"/>
  </cellXfs>
  <cellStyles count="3">
    <cellStyle name="Normale" xfId="0" builtinId="0"/>
    <cellStyle name="Percentuale" xfId="2" builtinId="5"/>
    <cellStyle name="Valuta" xfId="1" builtinId="4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E31" sqref="E31"/>
    </sheetView>
  </sheetViews>
  <sheetFormatPr baseColWidth="10" defaultColWidth="8.83203125" defaultRowHeight="15" x14ac:dyDescent="0.2"/>
  <cols>
    <col min="2" max="2" width="19.33203125" bestFit="1" customWidth="1"/>
    <col min="6" max="6" width="10.83203125" bestFit="1" customWidth="1"/>
    <col min="7" max="7" width="35.5" bestFit="1" customWidth="1"/>
    <col min="16" max="17" width="10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18</v>
      </c>
      <c r="C2" t="s">
        <v>39</v>
      </c>
      <c r="D2">
        <v>18.5</v>
      </c>
      <c r="E2">
        <v>2.1</v>
      </c>
      <c r="F2" t="s">
        <v>42</v>
      </c>
      <c r="G2" t="s">
        <v>49</v>
      </c>
      <c r="H2" t="s">
        <v>51</v>
      </c>
      <c r="I2">
        <v>25.6</v>
      </c>
      <c r="J2">
        <v>98.9</v>
      </c>
      <c r="K2">
        <v>51.3</v>
      </c>
      <c r="L2">
        <v>1.0780000000000001</v>
      </c>
      <c r="M2">
        <v>0.87</v>
      </c>
      <c r="N2">
        <v>38.299999999999997</v>
      </c>
      <c r="O2">
        <v>11</v>
      </c>
      <c r="P2">
        <v>50</v>
      </c>
      <c r="Q2">
        <f>P2*E2-P2</f>
        <v>55</v>
      </c>
      <c r="R2" t="str">
        <f>IF(Q2=-50,"LOSE","WIN")</f>
        <v>WIN</v>
      </c>
      <c r="S2">
        <f>COUNTIF(R2:R30,"WIN")</f>
        <v>15</v>
      </c>
      <c r="T2" s="2">
        <f>S2/(S2+S3)</f>
        <v>0.51724137931034486</v>
      </c>
    </row>
    <row r="3" spans="1:20" x14ac:dyDescent="0.2">
      <c r="A3" t="s">
        <v>16</v>
      </c>
      <c r="B3" t="s">
        <v>19</v>
      </c>
      <c r="C3" t="s">
        <v>40</v>
      </c>
      <c r="D3">
        <v>8.5</v>
      </c>
      <c r="E3">
        <v>2.1</v>
      </c>
      <c r="F3" t="s">
        <v>43</v>
      </c>
      <c r="G3" t="s">
        <v>49</v>
      </c>
      <c r="H3" t="s">
        <v>51</v>
      </c>
      <c r="I3">
        <v>11.5</v>
      </c>
      <c r="J3">
        <v>98.8</v>
      </c>
      <c r="K3">
        <v>51.1</v>
      </c>
      <c r="L3">
        <v>1.0740000000000001</v>
      </c>
      <c r="M3">
        <v>0.84</v>
      </c>
      <c r="N3">
        <v>35.1</v>
      </c>
      <c r="O3">
        <v>11</v>
      </c>
      <c r="P3">
        <v>50</v>
      </c>
      <c r="Q3">
        <f t="shared" ref="Q3:Q30" si="0">P3*E3-P3</f>
        <v>55</v>
      </c>
      <c r="R3" t="str">
        <f t="shared" ref="R3:R30" si="1">IF(Q3=-50,"LOSE","WIN")</f>
        <v>WIN</v>
      </c>
      <c r="S3">
        <f>COUNTIF(R2:R30,"LOSE")</f>
        <v>14</v>
      </c>
      <c r="T3" s="2">
        <f>S3/(S2+S3)</f>
        <v>0.48275862068965519</v>
      </c>
    </row>
    <row r="4" spans="1:20" x14ac:dyDescent="0.2">
      <c r="A4" t="s">
        <v>16</v>
      </c>
      <c r="B4" t="s">
        <v>20</v>
      </c>
      <c r="C4" t="s">
        <v>39</v>
      </c>
      <c r="D4">
        <v>10.5</v>
      </c>
      <c r="E4">
        <v>2.1</v>
      </c>
      <c r="F4" t="s">
        <v>44</v>
      </c>
      <c r="G4" t="s">
        <v>49</v>
      </c>
      <c r="H4" t="s">
        <v>51</v>
      </c>
      <c r="I4">
        <v>13.2</v>
      </c>
      <c r="J4">
        <v>94.4</v>
      </c>
      <c r="K4">
        <v>46.8</v>
      </c>
      <c r="L4">
        <v>0.98199999999999998</v>
      </c>
      <c r="M4">
        <v>0.87</v>
      </c>
      <c r="N4">
        <v>25.9</v>
      </c>
      <c r="O4">
        <v>11</v>
      </c>
      <c r="P4">
        <v>50</v>
      </c>
      <c r="Q4">
        <v>-50</v>
      </c>
      <c r="R4" t="str">
        <f t="shared" si="1"/>
        <v>LOSE</v>
      </c>
    </row>
    <row r="5" spans="1:20" x14ac:dyDescent="0.2">
      <c r="A5" t="s">
        <v>16</v>
      </c>
      <c r="B5" t="s">
        <v>21</v>
      </c>
      <c r="C5" t="s">
        <v>39</v>
      </c>
      <c r="D5">
        <v>8.5</v>
      </c>
      <c r="E5">
        <v>1.94</v>
      </c>
      <c r="F5" t="s">
        <v>45</v>
      </c>
      <c r="G5" t="s">
        <v>49</v>
      </c>
      <c r="H5" t="s">
        <v>51</v>
      </c>
      <c r="I5">
        <v>13.4</v>
      </c>
      <c r="J5">
        <v>99.7</v>
      </c>
      <c r="K5">
        <v>48.1</v>
      </c>
      <c r="L5">
        <v>0.93400000000000005</v>
      </c>
      <c r="M5">
        <v>0.84</v>
      </c>
      <c r="N5">
        <v>57.5</v>
      </c>
      <c r="O5">
        <v>11</v>
      </c>
      <c r="P5">
        <v>50</v>
      </c>
      <c r="Q5">
        <v>-50</v>
      </c>
      <c r="R5" t="str">
        <f t="shared" si="1"/>
        <v>LOSE</v>
      </c>
    </row>
    <row r="6" spans="1:20" x14ac:dyDescent="0.2">
      <c r="A6" t="s">
        <v>17</v>
      </c>
      <c r="B6" t="s">
        <v>22</v>
      </c>
      <c r="C6" t="s">
        <v>40</v>
      </c>
      <c r="D6">
        <v>4.5</v>
      </c>
      <c r="E6">
        <v>2.1</v>
      </c>
      <c r="F6" t="s">
        <v>44</v>
      </c>
      <c r="G6" t="s">
        <v>50</v>
      </c>
      <c r="H6" t="s">
        <v>52</v>
      </c>
      <c r="I6">
        <v>3.4</v>
      </c>
      <c r="J6">
        <v>90</v>
      </c>
      <c r="K6">
        <v>42.4</v>
      </c>
      <c r="L6">
        <v>0.89100000000000001</v>
      </c>
      <c r="M6">
        <v>0.89</v>
      </c>
      <c r="N6">
        <v>-23.3</v>
      </c>
      <c r="O6">
        <v>5</v>
      </c>
      <c r="P6">
        <v>50</v>
      </c>
      <c r="Q6">
        <v>-50</v>
      </c>
      <c r="R6" t="str">
        <f t="shared" si="1"/>
        <v>LOSE</v>
      </c>
    </row>
    <row r="7" spans="1:20" x14ac:dyDescent="0.2">
      <c r="A7" t="s">
        <v>16</v>
      </c>
      <c r="B7" t="s">
        <v>23</v>
      </c>
      <c r="C7" t="s">
        <v>39</v>
      </c>
      <c r="D7">
        <v>4.5</v>
      </c>
      <c r="E7">
        <v>1.94</v>
      </c>
      <c r="F7" t="s">
        <v>46</v>
      </c>
      <c r="G7" t="s">
        <v>49</v>
      </c>
      <c r="H7" t="s">
        <v>51</v>
      </c>
      <c r="I7">
        <v>7.4</v>
      </c>
      <c r="J7">
        <v>97.4</v>
      </c>
      <c r="K7">
        <v>45.8</v>
      </c>
      <c r="L7">
        <v>0.88900000000000001</v>
      </c>
      <c r="M7">
        <v>0.9</v>
      </c>
      <c r="N7">
        <v>64.400000000000006</v>
      </c>
      <c r="O7">
        <v>11</v>
      </c>
      <c r="P7">
        <v>50</v>
      </c>
      <c r="Q7">
        <v>-50</v>
      </c>
      <c r="R7" t="str">
        <f t="shared" si="1"/>
        <v>LOSE</v>
      </c>
    </row>
    <row r="8" spans="1:20" x14ac:dyDescent="0.2">
      <c r="A8" t="s">
        <v>16</v>
      </c>
      <c r="B8" t="s">
        <v>24</v>
      </c>
      <c r="C8" t="s">
        <v>39</v>
      </c>
      <c r="D8">
        <v>16.5</v>
      </c>
      <c r="E8">
        <v>2.0499999999999998</v>
      </c>
      <c r="F8" t="s">
        <v>44</v>
      </c>
      <c r="G8" t="s">
        <v>49</v>
      </c>
      <c r="H8" t="s">
        <v>51</v>
      </c>
      <c r="I8">
        <v>19.600000000000001</v>
      </c>
      <c r="J8">
        <v>91.3</v>
      </c>
      <c r="K8">
        <v>42.5</v>
      </c>
      <c r="L8">
        <v>0.871</v>
      </c>
      <c r="M8">
        <v>0.92</v>
      </c>
      <c r="N8">
        <v>19.100000000000001</v>
      </c>
      <c r="O8">
        <v>11</v>
      </c>
      <c r="P8">
        <v>50</v>
      </c>
      <c r="Q8">
        <f t="shared" si="0"/>
        <v>52.499999999999986</v>
      </c>
      <c r="R8" t="str">
        <f t="shared" si="1"/>
        <v>WIN</v>
      </c>
    </row>
    <row r="9" spans="1:20" x14ac:dyDescent="0.2">
      <c r="A9" t="s">
        <v>17</v>
      </c>
      <c r="B9" t="s">
        <v>25</v>
      </c>
      <c r="C9" t="s">
        <v>41</v>
      </c>
      <c r="D9">
        <v>1.5</v>
      </c>
      <c r="E9">
        <v>1.91</v>
      </c>
      <c r="F9" t="s">
        <v>42</v>
      </c>
      <c r="G9" t="s">
        <v>50</v>
      </c>
      <c r="H9" t="s">
        <v>51</v>
      </c>
      <c r="I9">
        <v>2.4</v>
      </c>
      <c r="J9">
        <v>97.7</v>
      </c>
      <c r="K9">
        <v>45.3</v>
      </c>
      <c r="L9">
        <v>0.86499999999999999</v>
      </c>
      <c r="M9">
        <v>0.92</v>
      </c>
      <c r="N9">
        <v>58.7</v>
      </c>
      <c r="O9">
        <v>5</v>
      </c>
      <c r="P9">
        <v>50</v>
      </c>
      <c r="Q9">
        <f t="shared" si="0"/>
        <v>45.5</v>
      </c>
      <c r="R9" t="str">
        <f t="shared" si="1"/>
        <v>WIN</v>
      </c>
    </row>
    <row r="10" spans="1:20" x14ac:dyDescent="0.2">
      <c r="A10" t="s">
        <v>16</v>
      </c>
      <c r="B10" t="s">
        <v>19</v>
      </c>
      <c r="C10" t="s">
        <v>39</v>
      </c>
      <c r="D10">
        <v>8.5</v>
      </c>
      <c r="E10">
        <v>1.91</v>
      </c>
      <c r="F10" t="s">
        <v>44</v>
      </c>
      <c r="G10" t="s">
        <v>49</v>
      </c>
      <c r="H10" t="s">
        <v>51</v>
      </c>
      <c r="I10">
        <v>12.2</v>
      </c>
      <c r="J10">
        <v>94.9</v>
      </c>
      <c r="K10">
        <v>42.6</v>
      </c>
      <c r="L10">
        <v>0.81299999999999994</v>
      </c>
      <c r="M10">
        <v>0.87</v>
      </c>
      <c r="N10">
        <v>43.3</v>
      </c>
      <c r="O10">
        <v>11</v>
      </c>
      <c r="P10">
        <v>50</v>
      </c>
      <c r="Q10">
        <f t="shared" si="0"/>
        <v>45.5</v>
      </c>
      <c r="R10" t="str">
        <f t="shared" si="1"/>
        <v>WIN</v>
      </c>
    </row>
    <row r="11" spans="1:20" x14ac:dyDescent="0.2">
      <c r="A11" t="s">
        <v>17</v>
      </c>
      <c r="B11" t="s">
        <v>22</v>
      </c>
      <c r="C11" t="s">
        <v>41</v>
      </c>
      <c r="D11">
        <v>4.5</v>
      </c>
      <c r="E11">
        <v>1.91</v>
      </c>
      <c r="F11" t="s">
        <v>44</v>
      </c>
      <c r="G11" t="s">
        <v>50</v>
      </c>
      <c r="H11" t="s">
        <v>52</v>
      </c>
      <c r="I11">
        <v>3.6</v>
      </c>
      <c r="J11">
        <v>92.3</v>
      </c>
      <c r="K11">
        <v>39.9</v>
      </c>
      <c r="L11">
        <v>0.76200000000000001</v>
      </c>
      <c r="M11">
        <v>0.79</v>
      </c>
      <c r="N11">
        <v>-19.3</v>
      </c>
      <c r="O11">
        <v>5</v>
      </c>
      <c r="P11">
        <v>50</v>
      </c>
      <c r="Q11">
        <f t="shared" si="0"/>
        <v>45.5</v>
      </c>
      <c r="R11" t="str">
        <f t="shared" si="1"/>
        <v>WIN</v>
      </c>
    </row>
    <row r="12" spans="1:20" x14ac:dyDescent="0.2">
      <c r="A12" t="s">
        <v>16</v>
      </c>
      <c r="B12" t="s">
        <v>26</v>
      </c>
      <c r="C12" t="s">
        <v>39</v>
      </c>
      <c r="D12">
        <v>11.5</v>
      </c>
      <c r="E12">
        <v>1.89</v>
      </c>
      <c r="F12" t="s">
        <v>45</v>
      </c>
      <c r="G12" t="s">
        <v>49</v>
      </c>
      <c r="H12" t="s">
        <v>51</v>
      </c>
      <c r="I12">
        <v>15</v>
      </c>
      <c r="J12">
        <v>92.7</v>
      </c>
      <c r="K12">
        <v>39.799999999999997</v>
      </c>
      <c r="L12">
        <v>0.753</v>
      </c>
      <c r="M12">
        <v>0.91</v>
      </c>
      <c r="N12">
        <v>30</v>
      </c>
      <c r="O12">
        <v>11</v>
      </c>
      <c r="P12">
        <v>50</v>
      </c>
      <c r="Q12">
        <f t="shared" si="0"/>
        <v>44.5</v>
      </c>
      <c r="R12" t="str">
        <f t="shared" si="1"/>
        <v>WIN</v>
      </c>
    </row>
    <row r="13" spans="1:20" x14ac:dyDescent="0.2">
      <c r="A13" t="s">
        <v>16</v>
      </c>
      <c r="B13" t="s">
        <v>27</v>
      </c>
      <c r="C13" t="s">
        <v>40</v>
      </c>
      <c r="D13">
        <v>3.5</v>
      </c>
      <c r="E13">
        <v>1.76</v>
      </c>
      <c r="F13" t="s">
        <v>45</v>
      </c>
      <c r="G13" t="s">
        <v>49</v>
      </c>
      <c r="H13" t="s">
        <v>51</v>
      </c>
      <c r="I13">
        <v>5.3</v>
      </c>
      <c r="J13">
        <v>96.8</v>
      </c>
      <c r="K13">
        <v>40</v>
      </c>
      <c r="L13">
        <v>0.70399999999999996</v>
      </c>
      <c r="M13">
        <v>0.93</v>
      </c>
      <c r="N13">
        <v>51.1</v>
      </c>
      <c r="O13">
        <v>11</v>
      </c>
      <c r="P13">
        <v>50</v>
      </c>
      <c r="Q13">
        <f t="shared" si="0"/>
        <v>38</v>
      </c>
      <c r="R13" t="str">
        <f t="shared" si="1"/>
        <v>WIN</v>
      </c>
    </row>
    <row r="14" spans="1:20" x14ac:dyDescent="0.2">
      <c r="A14" t="s">
        <v>16</v>
      </c>
      <c r="B14" t="s">
        <v>28</v>
      </c>
      <c r="C14" t="s">
        <v>39</v>
      </c>
      <c r="D14">
        <v>6.5</v>
      </c>
      <c r="E14">
        <v>1.85</v>
      </c>
      <c r="F14" t="s">
        <v>42</v>
      </c>
      <c r="G14" t="s">
        <v>49</v>
      </c>
      <c r="H14" t="s">
        <v>51</v>
      </c>
      <c r="I14">
        <v>8.1999999999999993</v>
      </c>
      <c r="J14">
        <v>91.8</v>
      </c>
      <c r="K14">
        <v>37.799999999999997</v>
      </c>
      <c r="L14">
        <v>0.69899999999999995</v>
      </c>
      <c r="M14">
        <v>0.95</v>
      </c>
      <c r="N14">
        <v>25.8</v>
      </c>
      <c r="O14">
        <v>11</v>
      </c>
      <c r="P14">
        <v>50</v>
      </c>
      <c r="Q14">
        <f t="shared" si="0"/>
        <v>42.5</v>
      </c>
      <c r="R14" t="str">
        <f t="shared" si="1"/>
        <v>WIN</v>
      </c>
    </row>
    <row r="15" spans="1:20" x14ac:dyDescent="0.2">
      <c r="A15" t="s">
        <v>16</v>
      </c>
      <c r="B15" t="s">
        <v>29</v>
      </c>
      <c r="C15" t="s">
        <v>41</v>
      </c>
      <c r="D15">
        <v>5.5</v>
      </c>
      <c r="E15">
        <v>1.98</v>
      </c>
      <c r="F15" t="s">
        <v>45</v>
      </c>
      <c r="G15" t="s">
        <v>49</v>
      </c>
      <c r="H15" t="s">
        <v>51</v>
      </c>
      <c r="I15">
        <v>6.8</v>
      </c>
      <c r="J15">
        <v>85.8</v>
      </c>
      <c r="K15">
        <v>35.299999999999997</v>
      </c>
      <c r="L15">
        <v>0.69899999999999995</v>
      </c>
      <c r="M15">
        <v>0.78</v>
      </c>
      <c r="N15">
        <v>22.9</v>
      </c>
      <c r="O15">
        <v>11</v>
      </c>
      <c r="P15">
        <v>50</v>
      </c>
      <c r="Q15">
        <v>-50</v>
      </c>
      <c r="R15" t="str">
        <f t="shared" si="1"/>
        <v>LOSE</v>
      </c>
    </row>
    <row r="16" spans="1:20" x14ac:dyDescent="0.2">
      <c r="A16" t="s">
        <v>17</v>
      </c>
      <c r="B16" t="s">
        <v>30</v>
      </c>
      <c r="C16" t="s">
        <v>40</v>
      </c>
      <c r="D16">
        <v>5.5</v>
      </c>
      <c r="E16">
        <v>1.68</v>
      </c>
      <c r="F16" t="s">
        <v>47</v>
      </c>
      <c r="G16" t="s">
        <v>50</v>
      </c>
      <c r="H16" t="s">
        <v>51</v>
      </c>
      <c r="I16">
        <v>8.1999999999999993</v>
      </c>
      <c r="J16">
        <v>98.7</v>
      </c>
      <c r="K16">
        <v>39.200000000000003</v>
      </c>
      <c r="L16">
        <v>0.65900000000000003</v>
      </c>
      <c r="M16">
        <v>0.83</v>
      </c>
      <c r="N16">
        <v>48.7</v>
      </c>
      <c r="O16">
        <v>5</v>
      </c>
      <c r="P16">
        <v>50</v>
      </c>
      <c r="Q16">
        <f t="shared" si="0"/>
        <v>34</v>
      </c>
      <c r="R16" t="str">
        <f t="shared" si="1"/>
        <v>WIN</v>
      </c>
    </row>
    <row r="17" spans="1:18" x14ac:dyDescent="0.2">
      <c r="A17" t="s">
        <v>17</v>
      </c>
      <c r="B17" t="s">
        <v>31</v>
      </c>
      <c r="C17" t="s">
        <v>41</v>
      </c>
      <c r="D17">
        <v>2.5</v>
      </c>
      <c r="E17">
        <v>1.68</v>
      </c>
      <c r="F17" t="s">
        <v>45</v>
      </c>
      <c r="G17" t="s">
        <v>50</v>
      </c>
      <c r="H17" t="s">
        <v>51</v>
      </c>
      <c r="I17">
        <v>3.2</v>
      </c>
      <c r="J17">
        <v>95.6</v>
      </c>
      <c r="K17">
        <v>36.1</v>
      </c>
      <c r="L17">
        <v>0.60699999999999998</v>
      </c>
      <c r="M17">
        <v>0.95</v>
      </c>
      <c r="N17">
        <v>28.8</v>
      </c>
      <c r="O17">
        <v>5</v>
      </c>
      <c r="P17">
        <v>50</v>
      </c>
      <c r="Q17">
        <v>-50</v>
      </c>
      <c r="R17" t="str">
        <f t="shared" si="1"/>
        <v>LOSE</v>
      </c>
    </row>
    <row r="18" spans="1:18" x14ac:dyDescent="0.2">
      <c r="A18" t="s">
        <v>16</v>
      </c>
      <c r="B18" t="s">
        <v>20</v>
      </c>
      <c r="C18" t="s">
        <v>41</v>
      </c>
      <c r="D18">
        <v>2.5</v>
      </c>
      <c r="E18">
        <v>1.72</v>
      </c>
      <c r="F18" t="s">
        <v>46</v>
      </c>
      <c r="G18" t="s">
        <v>49</v>
      </c>
      <c r="H18" t="s">
        <v>51</v>
      </c>
      <c r="I18">
        <v>3.8</v>
      </c>
      <c r="J18">
        <v>92.6</v>
      </c>
      <c r="K18">
        <v>34.5</v>
      </c>
      <c r="L18">
        <v>0.59299999999999997</v>
      </c>
      <c r="M18">
        <v>0.76</v>
      </c>
      <c r="N18">
        <v>50.4</v>
      </c>
      <c r="O18">
        <v>11</v>
      </c>
      <c r="P18">
        <v>50</v>
      </c>
      <c r="Q18">
        <v>-50</v>
      </c>
      <c r="R18" t="str">
        <f t="shared" si="1"/>
        <v>LOSE</v>
      </c>
    </row>
    <row r="19" spans="1:18" x14ac:dyDescent="0.2">
      <c r="A19" t="s">
        <v>17</v>
      </c>
      <c r="B19" t="s">
        <v>32</v>
      </c>
      <c r="C19" t="s">
        <v>40</v>
      </c>
      <c r="D19">
        <v>4.5</v>
      </c>
      <c r="E19">
        <v>1.74</v>
      </c>
      <c r="F19" t="s">
        <v>42</v>
      </c>
      <c r="G19" t="s">
        <v>50</v>
      </c>
      <c r="H19" t="s">
        <v>51</v>
      </c>
      <c r="I19">
        <v>5.6</v>
      </c>
      <c r="J19">
        <v>91.1</v>
      </c>
      <c r="K19">
        <v>33.6</v>
      </c>
      <c r="L19">
        <v>0.58499999999999996</v>
      </c>
      <c r="M19">
        <v>0.81</v>
      </c>
      <c r="N19">
        <v>25.3</v>
      </c>
      <c r="O19">
        <v>5</v>
      </c>
      <c r="P19">
        <v>50</v>
      </c>
      <c r="Q19">
        <v>-50</v>
      </c>
      <c r="R19" t="str">
        <f t="shared" si="1"/>
        <v>LOSE</v>
      </c>
    </row>
    <row r="20" spans="1:18" x14ac:dyDescent="0.2">
      <c r="A20" t="s">
        <v>16</v>
      </c>
      <c r="B20" t="s">
        <v>28</v>
      </c>
      <c r="C20" t="s">
        <v>41</v>
      </c>
      <c r="D20">
        <v>1.5</v>
      </c>
      <c r="E20">
        <v>1.65</v>
      </c>
      <c r="F20" t="s">
        <v>42</v>
      </c>
      <c r="G20" t="s">
        <v>49</v>
      </c>
      <c r="H20" t="s">
        <v>51</v>
      </c>
      <c r="I20">
        <v>2.2999999999999998</v>
      </c>
      <c r="J20">
        <v>95.9</v>
      </c>
      <c r="K20">
        <v>35.299999999999997</v>
      </c>
      <c r="L20">
        <v>0.58199999999999996</v>
      </c>
      <c r="M20">
        <v>0.95</v>
      </c>
      <c r="N20">
        <v>54</v>
      </c>
      <c r="O20">
        <v>11</v>
      </c>
      <c r="P20">
        <v>50</v>
      </c>
      <c r="Q20">
        <v>-50</v>
      </c>
      <c r="R20" t="str">
        <f t="shared" si="1"/>
        <v>LOSE</v>
      </c>
    </row>
    <row r="21" spans="1:18" x14ac:dyDescent="0.2">
      <c r="A21" t="s">
        <v>16</v>
      </c>
      <c r="B21" t="s">
        <v>33</v>
      </c>
      <c r="C21" t="s">
        <v>41</v>
      </c>
      <c r="D21">
        <v>1.5</v>
      </c>
      <c r="E21">
        <v>2.06</v>
      </c>
      <c r="F21" t="s">
        <v>46</v>
      </c>
      <c r="G21" t="s">
        <v>49</v>
      </c>
      <c r="H21" t="s">
        <v>51</v>
      </c>
      <c r="I21">
        <v>1.8</v>
      </c>
      <c r="J21">
        <v>71.2</v>
      </c>
      <c r="K21">
        <v>22.7</v>
      </c>
      <c r="L21">
        <v>0.46800000000000003</v>
      </c>
      <c r="M21">
        <v>0.79</v>
      </c>
      <c r="N21">
        <v>20.7</v>
      </c>
      <c r="O21">
        <v>11</v>
      </c>
      <c r="P21">
        <v>50</v>
      </c>
      <c r="Q21">
        <f t="shared" si="0"/>
        <v>53</v>
      </c>
      <c r="R21" t="str">
        <f t="shared" si="1"/>
        <v>WIN</v>
      </c>
    </row>
    <row r="22" spans="1:18" x14ac:dyDescent="0.2">
      <c r="A22" t="s">
        <v>17</v>
      </c>
      <c r="B22" t="s">
        <v>34</v>
      </c>
      <c r="C22" t="s">
        <v>41</v>
      </c>
      <c r="D22">
        <v>4.5</v>
      </c>
      <c r="E22">
        <v>1.87</v>
      </c>
      <c r="F22" t="s">
        <v>44</v>
      </c>
      <c r="G22" t="s">
        <v>50</v>
      </c>
      <c r="H22" t="s">
        <v>52</v>
      </c>
      <c r="I22">
        <v>4</v>
      </c>
      <c r="J22">
        <v>78.5</v>
      </c>
      <c r="K22">
        <v>25</v>
      </c>
      <c r="L22">
        <v>0.46800000000000003</v>
      </c>
      <c r="M22">
        <v>0.86</v>
      </c>
      <c r="N22">
        <v>-11.3</v>
      </c>
      <c r="O22">
        <v>5</v>
      </c>
      <c r="P22">
        <v>50</v>
      </c>
      <c r="Q22">
        <v>-50</v>
      </c>
      <c r="R22" t="str">
        <f t="shared" si="1"/>
        <v>LOSE</v>
      </c>
    </row>
    <row r="23" spans="1:18" x14ac:dyDescent="0.2">
      <c r="A23" t="s">
        <v>17</v>
      </c>
      <c r="B23" t="s">
        <v>35</v>
      </c>
      <c r="C23" t="s">
        <v>41</v>
      </c>
      <c r="D23">
        <v>2.5</v>
      </c>
      <c r="E23">
        <v>2</v>
      </c>
      <c r="F23" t="s">
        <v>42</v>
      </c>
      <c r="G23" t="s">
        <v>50</v>
      </c>
      <c r="H23" t="s">
        <v>51</v>
      </c>
      <c r="I23">
        <v>2.9</v>
      </c>
      <c r="J23">
        <v>73.099999999999994</v>
      </c>
      <c r="K23">
        <v>23.1</v>
      </c>
      <c r="L23">
        <v>0.46100000000000002</v>
      </c>
      <c r="M23">
        <v>0.78</v>
      </c>
      <c r="N23">
        <v>14.8</v>
      </c>
      <c r="O23">
        <v>5</v>
      </c>
      <c r="P23">
        <v>50</v>
      </c>
      <c r="Q23">
        <v>-50</v>
      </c>
      <c r="R23" t="str">
        <f t="shared" si="1"/>
        <v>LOSE</v>
      </c>
    </row>
    <row r="24" spans="1:18" x14ac:dyDescent="0.2">
      <c r="A24" t="s">
        <v>17</v>
      </c>
      <c r="B24" t="s">
        <v>22</v>
      </c>
      <c r="C24" t="s">
        <v>39</v>
      </c>
      <c r="D24">
        <v>16.5</v>
      </c>
      <c r="E24">
        <v>1.6</v>
      </c>
      <c r="F24" t="s">
        <v>48</v>
      </c>
      <c r="G24" t="s">
        <v>50</v>
      </c>
      <c r="H24" t="s">
        <v>52</v>
      </c>
      <c r="I24">
        <v>13.8</v>
      </c>
      <c r="J24">
        <v>89.2</v>
      </c>
      <c r="K24">
        <v>26.7</v>
      </c>
      <c r="L24">
        <v>0.42699999999999999</v>
      </c>
      <c r="M24">
        <v>0.89</v>
      </c>
      <c r="N24">
        <v>-16.399999999999999</v>
      </c>
      <c r="O24">
        <v>5</v>
      </c>
      <c r="P24">
        <v>50</v>
      </c>
      <c r="Q24">
        <f t="shared" si="0"/>
        <v>30</v>
      </c>
      <c r="R24" t="str">
        <f t="shared" si="1"/>
        <v>WIN</v>
      </c>
    </row>
    <row r="25" spans="1:18" x14ac:dyDescent="0.2">
      <c r="A25" t="s">
        <v>17</v>
      </c>
      <c r="B25" t="s">
        <v>25</v>
      </c>
      <c r="C25" t="s">
        <v>39</v>
      </c>
      <c r="D25">
        <v>11.5</v>
      </c>
      <c r="E25">
        <v>1.63</v>
      </c>
      <c r="F25" t="s">
        <v>48</v>
      </c>
      <c r="G25" t="s">
        <v>50</v>
      </c>
      <c r="H25" t="s">
        <v>52</v>
      </c>
      <c r="I25">
        <v>9.8000000000000007</v>
      </c>
      <c r="J25">
        <v>87.3</v>
      </c>
      <c r="K25">
        <v>25.9</v>
      </c>
      <c r="L25">
        <v>0.42299999999999999</v>
      </c>
      <c r="M25">
        <v>0.85</v>
      </c>
      <c r="N25">
        <v>-14.7</v>
      </c>
      <c r="O25">
        <v>5</v>
      </c>
      <c r="P25">
        <v>50</v>
      </c>
      <c r="Q25">
        <v>-50</v>
      </c>
      <c r="R25" t="str">
        <f t="shared" si="1"/>
        <v>LOSE</v>
      </c>
    </row>
    <row r="26" spans="1:18" x14ac:dyDescent="0.2">
      <c r="A26" t="s">
        <v>16</v>
      </c>
      <c r="B26" t="s">
        <v>36</v>
      </c>
      <c r="C26" t="s">
        <v>41</v>
      </c>
      <c r="D26">
        <v>5.5</v>
      </c>
      <c r="E26">
        <v>1.61</v>
      </c>
      <c r="F26" t="s">
        <v>44</v>
      </c>
      <c r="G26" t="s">
        <v>49</v>
      </c>
      <c r="H26" t="s">
        <v>51</v>
      </c>
      <c r="I26">
        <v>6.4</v>
      </c>
      <c r="J26">
        <v>85.8</v>
      </c>
      <c r="K26">
        <v>23.7</v>
      </c>
      <c r="L26">
        <v>0.38100000000000001</v>
      </c>
      <c r="M26">
        <v>0.85</v>
      </c>
      <c r="N26">
        <v>16.2</v>
      </c>
      <c r="O26">
        <v>11</v>
      </c>
      <c r="P26">
        <v>50</v>
      </c>
      <c r="Q26">
        <v>-50</v>
      </c>
      <c r="R26" t="str">
        <f t="shared" si="1"/>
        <v>LOSE</v>
      </c>
    </row>
    <row r="27" spans="1:18" x14ac:dyDescent="0.2">
      <c r="A27" t="s">
        <v>17</v>
      </c>
      <c r="B27" t="s">
        <v>37</v>
      </c>
      <c r="C27" t="s">
        <v>41</v>
      </c>
      <c r="D27">
        <v>3.5</v>
      </c>
      <c r="E27">
        <v>1.81</v>
      </c>
      <c r="F27" t="s">
        <v>48</v>
      </c>
      <c r="G27" t="s">
        <v>50</v>
      </c>
      <c r="H27" t="s">
        <v>51</v>
      </c>
      <c r="I27">
        <v>3.9</v>
      </c>
      <c r="J27">
        <v>75.2</v>
      </c>
      <c r="K27">
        <v>20</v>
      </c>
      <c r="L27">
        <v>0.36199999999999999</v>
      </c>
      <c r="M27">
        <v>0.83</v>
      </c>
      <c r="N27">
        <v>12.6</v>
      </c>
      <c r="O27">
        <v>5</v>
      </c>
      <c r="P27">
        <v>50</v>
      </c>
      <c r="Q27">
        <v>-50</v>
      </c>
      <c r="R27" t="str">
        <f t="shared" si="1"/>
        <v>LOSE</v>
      </c>
    </row>
    <row r="28" spans="1:18" x14ac:dyDescent="0.2">
      <c r="A28" t="s">
        <v>17</v>
      </c>
      <c r="B28" t="s">
        <v>31</v>
      </c>
      <c r="C28" t="s">
        <v>39</v>
      </c>
      <c r="D28">
        <v>19.5</v>
      </c>
      <c r="E28">
        <v>1.61</v>
      </c>
      <c r="F28" t="s">
        <v>44</v>
      </c>
      <c r="G28" t="s">
        <v>50</v>
      </c>
      <c r="H28" t="s">
        <v>51</v>
      </c>
      <c r="I28">
        <v>22.4</v>
      </c>
      <c r="J28">
        <v>80.7</v>
      </c>
      <c r="K28">
        <v>18.600000000000001</v>
      </c>
      <c r="L28">
        <v>0.3</v>
      </c>
      <c r="M28">
        <v>0.77</v>
      </c>
      <c r="N28">
        <v>14.8</v>
      </c>
      <c r="O28">
        <v>5</v>
      </c>
      <c r="P28">
        <v>50</v>
      </c>
      <c r="Q28">
        <f t="shared" si="0"/>
        <v>30.5</v>
      </c>
      <c r="R28" t="str">
        <f t="shared" si="1"/>
        <v>WIN</v>
      </c>
    </row>
    <row r="29" spans="1:18" x14ac:dyDescent="0.2">
      <c r="A29" t="s">
        <v>17</v>
      </c>
      <c r="B29" t="s">
        <v>32</v>
      </c>
      <c r="C29" t="s">
        <v>39</v>
      </c>
      <c r="D29">
        <v>6.5</v>
      </c>
      <c r="E29">
        <v>1.67</v>
      </c>
      <c r="F29" t="s">
        <v>44</v>
      </c>
      <c r="G29" t="s">
        <v>50</v>
      </c>
      <c r="H29" t="s">
        <v>52</v>
      </c>
      <c r="I29">
        <v>5.7</v>
      </c>
      <c r="J29">
        <v>74.8</v>
      </c>
      <c r="K29">
        <v>15</v>
      </c>
      <c r="L29">
        <v>0.25</v>
      </c>
      <c r="M29">
        <v>0.76</v>
      </c>
      <c r="N29">
        <v>-12.6</v>
      </c>
      <c r="O29">
        <v>5</v>
      </c>
      <c r="P29">
        <v>50</v>
      </c>
      <c r="Q29">
        <f t="shared" si="0"/>
        <v>33.5</v>
      </c>
      <c r="R29" t="str">
        <f t="shared" si="1"/>
        <v>WIN</v>
      </c>
    </row>
    <row r="30" spans="1:18" x14ac:dyDescent="0.2">
      <c r="A30" t="s">
        <v>17</v>
      </c>
      <c r="B30" t="s">
        <v>38</v>
      </c>
      <c r="C30" t="s">
        <v>39</v>
      </c>
      <c r="D30">
        <v>14.5</v>
      </c>
      <c r="E30">
        <v>1.62</v>
      </c>
      <c r="F30" t="s">
        <v>44</v>
      </c>
      <c r="G30" t="s">
        <v>50</v>
      </c>
      <c r="H30" t="s">
        <v>52</v>
      </c>
      <c r="I30">
        <v>13</v>
      </c>
      <c r="J30">
        <v>75.900000000000006</v>
      </c>
      <c r="K30">
        <v>14.2</v>
      </c>
      <c r="L30">
        <v>0.23</v>
      </c>
      <c r="M30">
        <v>0.84</v>
      </c>
      <c r="N30">
        <v>-10.6</v>
      </c>
      <c r="O30">
        <v>5</v>
      </c>
      <c r="P30">
        <v>50</v>
      </c>
      <c r="Q30">
        <f t="shared" si="0"/>
        <v>31</v>
      </c>
      <c r="R30" t="str">
        <f t="shared" si="1"/>
        <v>WIN</v>
      </c>
    </row>
    <row r="31" spans="1:18" x14ac:dyDescent="0.2">
      <c r="E31">
        <f>AVERAGE(E2:E30)</f>
        <v>1.84448275862069</v>
      </c>
      <c r="P31" s="3">
        <f>SUM(P2:P30)</f>
        <v>1450</v>
      </c>
      <c r="Q31" s="3">
        <f>SUM(Q2:Q30)</f>
        <v>-64</v>
      </c>
    </row>
    <row r="32" spans="1:18" x14ac:dyDescent="0.2">
      <c r="Q32" s="2">
        <f>Q31/P31</f>
        <v>-4.4137931034482755E-2</v>
      </c>
    </row>
  </sheetData>
  <autoFilter ref="A1:T32" xr:uid="{00000000-0001-0000-0000-000000000000}"/>
  <conditionalFormatting sqref="R2:R30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2025-12-13T19:51:02Z</dcterms:created>
  <dcterms:modified xsi:type="dcterms:W3CDTF">2025-12-17T17:06:18Z</dcterms:modified>
</cp:coreProperties>
</file>