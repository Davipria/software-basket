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E69A1699-F922-5B49-B700-935BF3A511C6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Sheet1!$A$1:$T$20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P19" i="1"/>
  <c r="Q3" i="1"/>
  <c r="R3" i="1" s="1"/>
  <c r="Q4" i="1"/>
  <c r="R4" i="1" s="1"/>
  <c r="Q5" i="1"/>
  <c r="R5" i="1" s="1"/>
  <c r="Q6" i="1"/>
  <c r="R6" i="1" s="1"/>
  <c r="R7" i="1"/>
  <c r="R8" i="1"/>
  <c r="Q9" i="1"/>
  <c r="R9" i="1" s="1"/>
  <c r="R10" i="1"/>
  <c r="R11" i="1"/>
  <c r="Q12" i="1"/>
  <c r="R12" i="1" s="1"/>
  <c r="R13" i="1"/>
  <c r="R14" i="1"/>
  <c r="Q15" i="1"/>
  <c r="R15" i="1" s="1"/>
  <c r="R16" i="1"/>
  <c r="Q17" i="1"/>
  <c r="R17" i="1" s="1"/>
  <c r="R18" i="1"/>
  <c r="R2" i="1"/>
  <c r="S3" i="1" l="1"/>
  <c r="S2" i="1"/>
  <c r="Q19" i="1"/>
  <c r="Q20" i="1" s="1"/>
  <c r="T2" i="1" l="1"/>
  <c r="T3" i="1"/>
</calcChain>
</file>

<file path=xl/sharedStrings.xml><?xml version="1.0" encoding="utf-8"?>
<sst xmlns="http://schemas.openxmlformats.org/spreadsheetml/2006/main" count="118" uniqueCount="44">
  <si>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</si>
  <si>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</si>
  <si>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</si>
  <si>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</si>
  <si>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</si>
  <si>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</si>
  <si>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</si>
  <si>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</si>
  <si>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</si>
  <si>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</si>
  <si>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</si>
  <si>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</si>
  <si>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</si>
  <si>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</si>
  <si>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</si>
  <si>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</si>
  <si>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2031f79c4dd229576855fb346449a8d4</t>
  </si>
  <si>
    <t>9373b84d11358f66f18562222dbf5f42</t>
  </si>
  <si>
    <t>Austin Reaves</t>
  </si>
  <si>
    <t>Stephon Castle</t>
  </si>
  <si>
    <t>Julian Champagnie</t>
  </si>
  <si>
    <t>Luka Doncic</t>
  </si>
  <si>
    <t>Jake LaRavia</t>
  </si>
  <si>
    <t>Keldon Johnson</t>
  </si>
  <si>
    <t>Rui Hachimura</t>
  </si>
  <si>
    <t>Jaxson Hayes</t>
  </si>
  <si>
    <t>Devin Vassell</t>
  </si>
  <si>
    <t>Oso Ighodaro</t>
  </si>
  <si>
    <t>Collin Gillespie</t>
  </si>
  <si>
    <t>Shai Gilgeous-Alexander</t>
  </si>
  <si>
    <t>Dylan Harper</t>
  </si>
  <si>
    <t>Cason Wallace</t>
  </si>
  <si>
    <t>points</t>
  </si>
  <si>
    <t>rebounds</t>
  </si>
  <si>
    <t>assists</t>
  </si>
  <si>
    <t>FanDuel</t>
  </si>
  <si>
    <t>BetMGM</t>
  </si>
  <si>
    <t>Pinnacle</t>
  </si>
  <si>
    <t>DraftKings</t>
  </si>
  <si>
    <t>BetRivers</t>
  </si>
  <si>
    <t>San Antonio Spurs @ Los Angeles Lakers</t>
  </si>
  <si>
    <t>Phoenix Suns @ Oklahoma City Thunder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</si>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</sst>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2" max="2" width="19.33203125" bestFit="1" customWidth="1"/>
    <col min="7" max="7" width="31.83203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2">
      <c r="A2" t="s">
        <v>16</v>
      </c>
      <c r="B2" t="s">
        <v>18</v>
      </c>
      <c r="C2" t="s">
        <v>32</v>
      </c>
      <c r="D2">
        <v>23.5</v>
      </c>
      <c r="E2">
        <v>1.98</v>
      </c>
      <c r="F2" t="s">
        <v>35</v>
      </c>
      <c r="G2" t="s">
        <v>40</v>
      </c>
      <c r="H2" t="s">
        <v>42</v>
      </c>
      <c r="I2">
        <v>29.8</v>
      </c>
      <c r="J2">
        <v>94.4</v>
      </c>
      <c r="K2">
        <v>43.9</v>
      </c>
      <c r="L2">
        <v>0.86899999999999999</v>
      </c>
      <c r="M2">
        <v>0.8</v>
      </c>
      <c r="N2">
        <v>26.9</v>
      </c>
      <c r="O2">
        <v>7</v>
      </c>
      <c r="P2">
        <v>50</v>
      </c>
      <c r="Q2">
        <v>-50</v>
      </c>
      <c r="R2" t="str">
        <f>IF(Q2=-50,"LOSE","WIN")</f>
        <v>LOSE</v>
      </c>
      <c r="S2">
        <f>COUNTIF(R2:R18,"WIN")</f>
        <v>8</v>
      </c>
      <c r="T2" s="2">
        <f>S2/(S2+S3)</f>
        <v>0.47058823529411764</v>
      </c>
    </row>
    <row r="3" spans="1:20" x14ac:dyDescent="0.2">
      <c r="A3" t="s">
        <v>16</v>
      </c>
      <c r="B3" t="s">
        <v>19</v>
      </c>
      <c r="C3" t="s">
        <v>33</v>
      </c>
      <c r="D3">
        <v>4.5</v>
      </c>
      <c r="E3">
        <v>1.87</v>
      </c>
      <c r="F3" t="s">
        <v>36</v>
      </c>
      <c r="G3" t="s">
        <v>40</v>
      </c>
      <c r="H3" t="s">
        <v>42</v>
      </c>
      <c r="I3">
        <v>6</v>
      </c>
      <c r="J3">
        <v>97.6</v>
      </c>
      <c r="K3">
        <v>44.1</v>
      </c>
      <c r="L3">
        <v>0.82499999999999996</v>
      </c>
      <c r="M3">
        <v>0.95</v>
      </c>
      <c r="N3">
        <v>32.4</v>
      </c>
      <c r="O3">
        <v>7</v>
      </c>
      <c r="P3">
        <v>50</v>
      </c>
      <c r="Q3">
        <f t="shared" ref="Q3:Q17" si="0">P3*E3-P3</f>
        <v>43.5</v>
      </c>
      <c r="R3" t="str">
        <f t="shared" ref="R3:R18" si="1">IF(Q3=-50,"LOSE","WIN")</f>
        <v>WIN</v>
      </c>
      <c r="S3">
        <f>COUNTIF(R2:R18,"LOSE")</f>
        <v>9</v>
      </c>
      <c r="T3" s="2">
        <f>S3/(S3+S2)</f>
        <v>0.52941176470588236</v>
      </c>
    </row>
    <row r="4" spans="1:20" x14ac:dyDescent="0.2">
      <c r="A4" t="s">
        <v>16</v>
      </c>
      <c r="B4" t="s">
        <v>20</v>
      </c>
      <c r="C4" t="s">
        <v>32</v>
      </c>
      <c r="D4">
        <v>9.5</v>
      </c>
      <c r="E4">
        <v>1.91</v>
      </c>
      <c r="F4" t="s">
        <v>36</v>
      </c>
      <c r="G4" t="s">
        <v>40</v>
      </c>
      <c r="H4" t="s">
        <v>42</v>
      </c>
      <c r="I4">
        <v>12.5</v>
      </c>
      <c r="J4">
        <v>94.3</v>
      </c>
      <c r="K4">
        <v>42</v>
      </c>
      <c r="L4">
        <v>0.80200000000000005</v>
      </c>
      <c r="M4">
        <v>0.95</v>
      </c>
      <c r="N4">
        <v>31.6</v>
      </c>
      <c r="O4">
        <v>7</v>
      </c>
      <c r="P4">
        <v>50</v>
      </c>
      <c r="Q4">
        <f t="shared" si="0"/>
        <v>45.5</v>
      </c>
      <c r="R4" t="str">
        <f t="shared" si="1"/>
        <v>WIN</v>
      </c>
    </row>
    <row r="5" spans="1:20" x14ac:dyDescent="0.2">
      <c r="A5" t="s">
        <v>16</v>
      </c>
      <c r="B5" t="s">
        <v>21</v>
      </c>
      <c r="C5" t="s">
        <v>32</v>
      </c>
      <c r="D5">
        <v>33.5</v>
      </c>
      <c r="E5">
        <v>2.0499999999999998</v>
      </c>
      <c r="F5" t="s">
        <v>36</v>
      </c>
      <c r="G5" t="s">
        <v>40</v>
      </c>
      <c r="H5" t="s">
        <v>42</v>
      </c>
      <c r="I5">
        <v>37.700000000000003</v>
      </c>
      <c r="J5">
        <v>87.6</v>
      </c>
      <c r="K5">
        <v>38.9</v>
      </c>
      <c r="L5">
        <v>0.79700000000000004</v>
      </c>
      <c r="M5">
        <v>0.8</v>
      </c>
      <c r="N5">
        <v>12.4</v>
      </c>
      <c r="O5">
        <v>7</v>
      </c>
      <c r="P5">
        <v>50</v>
      </c>
      <c r="Q5">
        <f t="shared" si="0"/>
        <v>52.499999999999986</v>
      </c>
      <c r="R5" t="str">
        <f t="shared" si="1"/>
        <v>WIN</v>
      </c>
    </row>
    <row r="6" spans="1:20" x14ac:dyDescent="0.2">
      <c r="A6" t="s">
        <v>16</v>
      </c>
      <c r="B6" t="s">
        <v>18</v>
      </c>
      <c r="C6" t="s">
        <v>34</v>
      </c>
      <c r="D6">
        <v>4.5</v>
      </c>
      <c r="E6">
        <v>1.88</v>
      </c>
      <c r="F6" t="s">
        <v>37</v>
      </c>
      <c r="G6" t="s">
        <v>40</v>
      </c>
      <c r="H6" t="s">
        <v>42</v>
      </c>
      <c r="I6">
        <v>6.6</v>
      </c>
      <c r="J6">
        <v>93.4</v>
      </c>
      <c r="K6">
        <v>40.200000000000003</v>
      </c>
      <c r="L6">
        <v>0.75600000000000001</v>
      </c>
      <c r="M6">
        <v>0.73</v>
      </c>
      <c r="N6">
        <v>46.9</v>
      </c>
      <c r="O6">
        <v>7</v>
      </c>
      <c r="P6">
        <v>50</v>
      </c>
      <c r="Q6">
        <f t="shared" si="0"/>
        <v>44</v>
      </c>
      <c r="R6" t="str">
        <f t="shared" si="1"/>
        <v>WIN</v>
      </c>
    </row>
    <row r="7" spans="1:20" x14ac:dyDescent="0.2">
      <c r="A7" t="s">
        <v>16</v>
      </c>
      <c r="B7" t="s">
        <v>22</v>
      </c>
      <c r="C7" t="s">
        <v>32</v>
      </c>
      <c r="D7">
        <v>4.5</v>
      </c>
      <c r="E7">
        <v>1.96</v>
      </c>
      <c r="F7" t="s">
        <v>38</v>
      </c>
      <c r="G7" t="s">
        <v>40</v>
      </c>
      <c r="H7" t="s">
        <v>42</v>
      </c>
      <c r="I7">
        <v>7.1</v>
      </c>
      <c r="J7">
        <v>88.9</v>
      </c>
      <c r="K7">
        <v>37.9</v>
      </c>
      <c r="L7">
        <v>0.74299999999999999</v>
      </c>
      <c r="M7">
        <v>0.91</v>
      </c>
      <c r="N7">
        <v>58</v>
      </c>
      <c r="O7">
        <v>7</v>
      </c>
      <c r="P7">
        <v>50</v>
      </c>
      <c r="Q7">
        <v>-50</v>
      </c>
      <c r="R7" t="str">
        <f t="shared" si="1"/>
        <v>LOSE</v>
      </c>
    </row>
    <row r="8" spans="1:20" x14ac:dyDescent="0.2">
      <c r="A8" t="s">
        <v>16</v>
      </c>
      <c r="B8" t="s">
        <v>21</v>
      </c>
      <c r="C8" t="s">
        <v>34</v>
      </c>
      <c r="D8">
        <v>8.5</v>
      </c>
      <c r="E8">
        <v>1.93</v>
      </c>
      <c r="F8" t="s">
        <v>39</v>
      </c>
      <c r="G8" t="s">
        <v>40</v>
      </c>
      <c r="H8" t="s">
        <v>42</v>
      </c>
      <c r="I8">
        <v>9.9</v>
      </c>
      <c r="J8">
        <v>89.6</v>
      </c>
      <c r="K8">
        <v>37.799999999999997</v>
      </c>
      <c r="L8">
        <v>0.73</v>
      </c>
      <c r="M8">
        <v>0.77</v>
      </c>
      <c r="N8">
        <v>16.600000000000001</v>
      </c>
      <c r="O8">
        <v>7</v>
      </c>
      <c r="P8">
        <v>50</v>
      </c>
      <c r="Q8">
        <v>-50</v>
      </c>
      <c r="R8" t="str">
        <f t="shared" si="1"/>
        <v>LOSE</v>
      </c>
    </row>
    <row r="9" spans="1:20" x14ac:dyDescent="0.2">
      <c r="A9" t="s">
        <v>16</v>
      </c>
      <c r="B9" t="s">
        <v>23</v>
      </c>
      <c r="C9" t="s">
        <v>33</v>
      </c>
      <c r="D9">
        <v>4.5</v>
      </c>
      <c r="E9">
        <v>1.74</v>
      </c>
      <c r="F9" t="s">
        <v>38</v>
      </c>
      <c r="G9" t="s">
        <v>40</v>
      </c>
      <c r="H9" t="s">
        <v>42</v>
      </c>
      <c r="I9">
        <v>6.1</v>
      </c>
      <c r="J9">
        <v>97.6</v>
      </c>
      <c r="K9">
        <v>40.1</v>
      </c>
      <c r="L9">
        <v>0.69799999999999995</v>
      </c>
      <c r="M9">
        <v>0.92</v>
      </c>
      <c r="N9">
        <v>36</v>
      </c>
      <c r="O9">
        <v>7</v>
      </c>
      <c r="P9">
        <v>50</v>
      </c>
      <c r="Q9">
        <f t="shared" si="0"/>
        <v>37</v>
      </c>
      <c r="R9" t="str">
        <f t="shared" si="1"/>
        <v>WIN</v>
      </c>
    </row>
    <row r="10" spans="1:20" x14ac:dyDescent="0.2">
      <c r="A10" t="s">
        <v>16</v>
      </c>
      <c r="B10" t="s">
        <v>24</v>
      </c>
      <c r="C10" t="s">
        <v>32</v>
      </c>
      <c r="D10">
        <v>11.5</v>
      </c>
      <c r="E10">
        <v>2.02</v>
      </c>
      <c r="F10" t="s">
        <v>35</v>
      </c>
      <c r="G10" t="s">
        <v>40</v>
      </c>
      <c r="H10" t="s">
        <v>42</v>
      </c>
      <c r="I10">
        <v>13.4</v>
      </c>
      <c r="J10">
        <v>83.8</v>
      </c>
      <c r="K10">
        <v>34.299999999999997</v>
      </c>
      <c r="L10">
        <v>0.69299999999999995</v>
      </c>
      <c r="M10">
        <v>0.91</v>
      </c>
      <c r="N10">
        <v>16.5</v>
      </c>
      <c r="O10">
        <v>7</v>
      </c>
      <c r="P10">
        <v>50</v>
      </c>
      <c r="Q10">
        <v>-50</v>
      </c>
      <c r="R10" t="str">
        <f t="shared" si="1"/>
        <v>LOSE</v>
      </c>
    </row>
    <row r="11" spans="1:20" x14ac:dyDescent="0.2">
      <c r="A11" t="s">
        <v>16</v>
      </c>
      <c r="B11" t="s">
        <v>25</v>
      </c>
      <c r="C11" t="s">
        <v>33</v>
      </c>
      <c r="D11">
        <v>3.5</v>
      </c>
      <c r="E11">
        <v>1.95</v>
      </c>
      <c r="F11" t="s">
        <v>36</v>
      </c>
      <c r="G11" t="s">
        <v>40</v>
      </c>
      <c r="H11" t="s">
        <v>42</v>
      </c>
      <c r="I11">
        <v>4</v>
      </c>
      <c r="J11">
        <v>82.6</v>
      </c>
      <c r="K11">
        <v>31.3</v>
      </c>
      <c r="L11">
        <v>0.61</v>
      </c>
      <c r="M11">
        <v>0.84</v>
      </c>
      <c r="N11">
        <v>14.9</v>
      </c>
      <c r="O11">
        <v>7</v>
      </c>
      <c r="P11">
        <v>50</v>
      </c>
      <c r="Q11">
        <v>-50</v>
      </c>
      <c r="R11" t="str">
        <f t="shared" si="1"/>
        <v>LOSE</v>
      </c>
    </row>
    <row r="12" spans="1:20" x14ac:dyDescent="0.2">
      <c r="A12" t="s">
        <v>16</v>
      </c>
      <c r="B12" t="s">
        <v>19</v>
      </c>
      <c r="C12" t="s">
        <v>32</v>
      </c>
      <c r="D12">
        <v>14.5</v>
      </c>
      <c r="E12">
        <v>1.85</v>
      </c>
      <c r="F12" t="s">
        <v>35</v>
      </c>
      <c r="G12" t="s">
        <v>40</v>
      </c>
      <c r="H12" t="s">
        <v>42</v>
      </c>
      <c r="I12">
        <v>17.100000000000001</v>
      </c>
      <c r="J12">
        <v>86.5</v>
      </c>
      <c r="K12">
        <v>32.4</v>
      </c>
      <c r="L12">
        <v>0.6</v>
      </c>
      <c r="M12">
        <v>0.74</v>
      </c>
      <c r="N12">
        <v>18.100000000000001</v>
      </c>
      <c r="O12">
        <v>7</v>
      </c>
      <c r="P12">
        <v>50</v>
      </c>
      <c r="Q12">
        <f t="shared" si="0"/>
        <v>42.5</v>
      </c>
      <c r="R12" t="str">
        <f t="shared" si="1"/>
        <v>WIN</v>
      </c>
    </row>
    <row r="13" spans="1:20" x14ac:dyDescent="0.2">
      <c r="A13" t="s">
        <v>16</v>
      </c>
      <c r="B13" t="s">
        <v>26</v>
      </c>
      <c r="C13" t="s">
        <v>32</v>
      </c>
      <c r="D13">
        <v>13.5</v>
      </c>
      <c r="E13">
        <v>1.94</v>
      </c>
      <c r="F13" t="s">
        <v>35</v>
      </c>
      <c r="G13" t="s">
        <v>40</v>
      </c>
      <c r="H13" t="s">
        <v>42</v>
      </c>
      <c r="I13">
        <v>16</v>
      </c>
      <c r="J13">
        <v>81.5</v>
      </c>
      <c r="K13">
        <v>29.9</v>
      </c>
      <c r="L13">
        <v>0.58099999999999996</v>
      </c>
      <c r="M13">
        <v>0.76</v>
      </c>
      <c r="N13">
        <v>18.399999999999999</v>
      </c>
      <c r="O13">
        <v>7</v>
      </c>
      <c r="P13">
        <v>50</v>
      </c>
      <c r="Q13">
        <v>-50</v>
      </c>
      <c r="R13" t="str">
        <f t="shared" si="1"/>
        <v>LOSE</v>
      </c>
    </row>
    <row r="14" spans="1:20" x14ac:dyDescent="0.2">
      <c r="A14" t="s">
        <v>17</v>
      </c>
      <c r="B14" t="s">
        <v>27</v>
      </c>
      <c r="C14" t="s">
        <v>33</v>
      </c>
      <c r="D14">
        <v>4.5</v>
      </c>
      <c r="E14">
        <v>1.62</v>
      </c>
      <c r="F14" t="s">
        <v>38</v>
      </c>
      <c r="G14" t="s">
        <v>41</v>
      </c>
      <c r="H14" t="s">
        <v>43</v>
      </c>
      <c r="I14">
        <v>3.3</v>
      </c>
      <c r="J14">
        <v>97</v>
      </c>
      <c r="K14">
        <v>35.200000000000003</v>
      </c>
      <c r="L14">
        <v>0.57099999999999995</v>
      </c>
      <c r="M14">
        <v>0.95</v>
      </c>
      <c r="N14">
        <v>-27.1</v>
      </c>
      <c r="O14">
        <v>15.5</v>
      </c>
      <c r="P14">
        <v>50</v>
      </c>
      <c r="Q14">
        <v>-50</v>
      </c>
      <c r="R14" t="str">
        <f t="shared" si="1"/>
        <v>LOSE</v>
      </c>
    </row>
    <row r="15" spans="1:20" x14ac:dyDescent="0.2">
      <c r="A15" t="s">
        <v>17</v>
      </c>
      <c r="B15" t="s">
        <v>28</v>
      </c>
      <c r="C15" t="s">
        <v>33</v>
      </c>
      <c r="D15">
        <v>4.5</v>
      </c>
      <c r="E15">
        <v>1.61</v>
      </c>
      <c r="F15" t="s">
        <v>38</v>
      </c>
      <c r="G15" t="s">
        <v>41</v>
      </c>
      <c r="H15" t="s">
        <v>43</v>
      </c>
      <c r="I15">
        <v>3.3</v>
      </c>
      <c r="J15">
        <v>97.2</v>
      </c>
      <c r="K15">
        <v>35.1</v>
      </c>
      <c r="L15">
        <v>0.56499999999999995</v>
      </c>
      <c r="M15">
        <v>0.95</v>
      </c>
      <c r="N15">
        <v>-26</v>
      </c>
      <c r="O15">
        <v>15.5</v>
      </c>
      <c r="P15">
        <v>50</v>
      </c>
      <c r="Q15">
        <f t="shared" si="0"/>
        <v>30.5</v>
      </c>
      <c r="R15" t="str">
        <f t="shared" si="1"/>
        <v>WIN</v>
      </c>
    </row>
    <row r="16" spans="1:20" x14ac:dyDescent="0.2">
      <c r="A16" t="s">
        <v>17</v>
      </c>
      <c r="B16" t="s">
        <v>29</v>
      </c>
      <c r="C16" t="s">
        <v>34</v>
      </c>
      <c r="D16">
        <v>6.5</v>
      </c>
      <c r="E16">
        <v>1.7</v>
      </c>
      <c r="F16" t="s">
        <v>38</v>
      </c>
      <c r="G16" t="s">
        <v>41</v>
      </c>
      <c r="H16" t="s">
        <v>43</v>
      </c>
      <c r="I16">
        <v>5.5</v>
      </c>
      <c r="J16">
        <v>90.7</v>
      </c>
      <c r="K16">
        <v>31.8</v>
      </c>
      <c r="L16">
        <v>0.54100000000000004</v>
      </c>
      <c r="M16">
        <v>0.95</v>
      </c>
      <c r="N16">
        <v>-14.9</v>
      </c>
      <c r="O16">
        <v>15.5</v>
      </c>
      <c r="P16">
        <v>50</v>
      </c>
      <c r="Q16">
        <v>-50</v>
      </c>
      <c r="R16" t="str">
        <f t="shared" si="1"/>
        <v>LOSE</v>
      </c>
    </row>
    <row r="17" spans="1:18" x14ac:dyDescent="0.2">
      <c r="A17" t="s">
        <v>16</v>
      </c>
      <c r="B17" t="s">
        <v>30</v>
      </c>
      <c r="C17" t="s">
        <v>32</v>
      </c>
      <c r="D17">
        <v>12.5</v>
      </c>
      <c r="E17">
        <v>1.82</v>
      </c>
      <c r="F17" t="s">
        <v>39</v>
      </c>
      <c r="G17" t="s">
        <v>40</v>
      </c>
      <c r="H17" t="s">
        <v>42</v>
      </c>
      <c r="I17">
        <v>13.9</v>
      </c>
      <c r="J17">
        <v>80</v>
      </c>
      <c r="K17">
        <v>25</v>
      </c>
      <c r="L17">
        <v>0.45500000000000002</v>
      </c>
      <c r="M17">
        <v>0.91</v>
      </c>
      <c r="N17">
        <v>11.4</v>
      </c>
      <c r="O17">
        <v>7</v>
      </c>
      <c r="P17">
        <v>50</v>
      </c>
      <c r="Q17">
        <f t="shared" si="0"/>
        <v>41</v>
      </c>
      <c r="R17" t="str">
        <f t="shared" si="1"/>
        <v>WIN</v>
      </c>
    </row>
    <row r="18" spans="1:18" x14ac:dyDescent="0.2">
      <c r="A18" t="s">
        <v>17</v>
      </c>
      <c r="B18" t="s">
        <v>31</v>
      </c>
      <c r="C18" t="s">
        <v>32</v>
      </c>
      <c r="D18">
        <v>7.5</v>
      </c>
      <c r="E18">
        <v>1.92</v>
      </c>
      <c r="F18" t="s">
        <v>38</v>
      </c>
      <c r="G18" t="s">
        <v>41</v>
      </c>
      <c r="H18" t="s">
        <v>43</v>
      </c>
      <c r="I18">
        <v>6.7</v>
      </c>
      <c r="J18">
        <v>70.900000000000006</v>
      </c>
      <c r="K18">
        <v>18.8</v>
      </c>
      <c r="L18">
        <v>0.36199999999999999</v>
      </c>
      <c r="M18">
        <v>0.73</v>
      </c>
      <c r="N18">
        <v>-10.8</v>
      </c>
      <c r="O18">
        <v>15.5</v>
      </c>
      <c r="P18">
        <v>50</v>
      </c>
      <c r="Q18">
        <v>-50</v>
      </c>
      <c r="R18" t="str">
        <f t="shared" si="1"/>
        <v>LOSE</v>
      </c>
    </row>
    <row r="19" spans="1:18" x14ac:dyDescent="0.2">
      <c r="E19">
        <f>AVERAGE(E2:E18)</f>
        <v>1.8676470588235294</v>
      </c>
      <c r="P19">
        <f>SUM(P2:P18)</f>
        <v>850</v>
      </c>
      <c r="Q19">
        <f>SUM(Q2:Q18)</f>
        <v>-113.5</v>
      </c>
    </row>
    <row r="20" spans="1:18" x14ac:dyDescent="0.2">
      <c r="Q20" s="2">
        <f>Q19/P19</f>
        <v>-0.13352941176470587</v>
      </c>
    </row>
  </sheetData>
  <autoFilter ref="A1:T20" xr:uid="{00000000-0001-0000-0000-000000000000}"/>
  <conditionalFormatting sqref="R2:R19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2025-12-11T00:39:04Z</dcterms:created>
  <dcterms:modified xsi:type="dcterms:W3CDTF">2025-12-17T17:05:27Z</dcterms:modified>
</cp:coreProperties>
</file>