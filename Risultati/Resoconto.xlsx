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"/>
    </mc:Choice>
  </mc:AlternateContent>
  <xr:revisionPtr revIDLastSave="0" documentId="13_ncr:1_{3AF7B11E-A032-9E41-B77E-FFCDB79C8E9C}" xr6:coauthVersionLast="47" xr6:coauthVersionMax="47" xr10:uidLastSave="{00000000-0000-0000-0000-000000000000}"/>
  <bookViews>
    <workbookView xWindow="0" yWindow="620" windowWidth="28800" windowHeight="16120" xr2:uid="{279B9E94-265F-1346-AA00-269F55A9F2CD}"/>
  </bookViews>
  <sheets>
    <sheet name="Stagione 25-26" sheetId="3" r:id="rId1"/>
    <sheet name="Dicembr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3" l="1"/>
  <c r="P7" i="3"/>
  <c r="L19" i="3"/>
  <c r="K19" i="3"/>
  <c r="G19" i="3"/>
  <c r="H19" i="3" s="1"/>
  <c r="E19" i="3"/>
  <c r="B19" i="3"/>
  <c r="L18" i="3"/>
  <c r="K18" i="3"/>
  <c r="G18" i="3"/>
  <c r="B18" i="3"/>
  <c r="E18" i="3" s="1"/>
  <c r="H18" i="3" s="1"/>
  <c r="L17" i="3"/>
  <c r="K17" i="3"/>
  <c r="G17" i="3"/>
  <c r="B17" i="3"/>
  <c r="E17" i="3" s="1"/>
  <c r="H17" i="3" s="1"/>
  <c r="L16" i="3"/>
  <c r="K16" i="3"/>
  <c r="G16" i="3"/>
  <c r="B16" i="3"/>
  <c r="E16" i="3" s="1"/>
  <c r="H16" i="3" s="1"/>
  <c r="L15" i="3"/>
  <c r="K15" i="3"/>
  <c r="G15" i="3"/>
  <c r="B15" i="3"/>
  <c r="E15" i="3" s="1"/>
  <c r="H15" i="3" s="1"/>
  <c r="L14" i="3"/>
  <c r="K14" i="3"/>
  <c r="G14" i="3"/>
  <c r="B14" i="3"/>
  <c r="E14" i="3" s="1"/>
  <c r="H14" i="3" s="1"/>
  <c r="L13" i="3"/>
  <c r="K13" i="3"/>
  <c r="G13" i="3"/>
  <c r="E13" i="3"/>
  <c r="H13" i="3" s="1"/>
  <c r="B13" i="3"/>
  <c r="L12" i="3"/>
  <c r="K12" i="3"/>
  <c r="G12" i="3"/>
  <c r="B12" i="3"/>
  <c r="E12" i="3" s="1"/>
  <c r="H12" i="3" s="1"/>
  <c r="L11" i="3"/>
  <c r="K11" i="3"/>
  <c r="G11" i="3"/>
  <c r="B11" i="3"/>
  <c r="E11" i="3" s="1"/>
  <c r="H11" i="3" s="1"/>
  <c r="L10" i="3"/>
  <c r="K10" i="3"/>
  <c r="G10" i="3"/>
  <c r="B10" i="3"/>
  <c r="E10" i="3" s="1"/>
  <c r="H10" i="3" s="1"/>
  <c r="L9" i="3"/>
  <c r="K9" i="3"/>
  <c r="G9" i="3"/>
  <c r="B9" i="3"/>
  <c r="E9" i="3" s="1"/>
  <c r="H9" i="3" s="1"/>
  <c r="L8" i="3"/>
  <c r="K8" i="3"/>
  <c r="G8" i="3"/>
  <c r="B8" i="3"/>
  <c r="E8" i="3" s="1"/>
  <c r="H8" i="3" s="1"/>
  <c r="L7" i="3"/>
  <c r="K7" i="3"/>
  <c r="G7" i="3"/>
  <c r="B7" i="3"/>
  <c r="E7" i="3" s="1"/>
  <c r="H7" i="3" s="1"/>
  <c r="L6" i="3"/>
  <c r="K6" i="3"/>
  <c r="G6" i="3"/>
  <c r="B6" i="3"/>
  <c r="E6" i="3" s="1"/>
  <c r="H6" i="3" s="1"/>
  <c r="L5" i="3"/>
  <c r="K5" i="3"/>
  <c r="G5" i="3"/>
  <c r="B5" i="3"/>
  <c r="E5" i="3" s="1"/>
  <c r="H5" i="3" s="1"/>
  <c r="L4" i="3"/>
  <c r="K4" i="3"/>
  <c r="G4" i="3"/>
  <c r="B4" i="3"/>
  <c r="E4" i="3" s="1"/>
  <c r="H4" i="3" s="1"/>
  <c r="M3" i="3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L3" i="3"/>
  <c r="K3" i="3"/>
  <c r="G3" i="3"/>
  <c r="B3" i="3"/>
  <c r="E3" i="3" s="1"/>
  <c r="H3" i="3" s="1"/>
  <c r="M2" i="3"/>
  <c r="L2" i="3"/>
  <c r="K2" i="3"/>
  <c r="G2" i="3"/>
  <c r="B2" i="3"/>
  <c r="E2" i="3" s="1"/>
  <c r="H2" i="3" s="1"/>
  <c r="P7" i="1"/>
  <c r="M19" i="1"/>
  <c r="K19" i="1"/>
  <c r="L19" i="1"/>
  <c r="G19" i="1"/>
  <c r="H19" i="1"/>
  <c r="B19" i="1"/>
  <c r="E19" i="1"/>
  <c r="L2" i="1"/>
  <c r="P4" i="1"/>
  <c r="P8" i="1"/>
  <c r="M18" i="1"/>
  <c r="K18" i="1"/>
  <c r="L18" i="1"/>
  <c r="G18" i="1"/>
  <c r="H18" i="1" s="1"/>
  <c r="B18" i="1"/>
  <c r="E18" i="1" s="1"/>
  <c r="M17" i="1"/>
  <c r="K17" i="1"/>
  <c r="L17" i="1"/>
  <c r="G17" i="1"/>
  <c r="H17" i="1" s="1"/>
  <c r="B17" i="1"/>
  <c r="E17" i="1" s="1"/>
  <c r="M16" i="1"/>
  <c r="K16" i="1"/>
  <c r="L16" i="1"/>
  <c r="B16" i="1"/>
  <c r="E16" i="1" s="1"/>
  <c r="H16" i="1" s="1"/>
  <c r="G16" i="1"/>
  <c r="M15" i="1"/>
  <c r="K15" i="1"/>
  <c r="L15" i="1"/>
  <c r="G15" i="1"/>
  <c r="H15" i="1" s="1"/>
  <c r="B15" i="1"/>
  <c r="E15" i="1" s="1"/>
  <c r="M14" i="1"/>
  <c r="K14" i="1"/>
  <c r="L14" i="1"/>
  <c r="G14" i="1"/>
  <c r="H14" i="1"/>
  <c r="B14" i="1"/>
  <c r="E14" i="1" s="1"/>
  <c r="M5" i="1"/>
  <c r="M6" i="1" s="1"/>
  <c r="M7" i="1" s="1"/>
  <c r="M8" i="1" s="1"/>
  <c r="M9" i="1" s="1"/>
  <c r="M10" i="1" s="1"/>
  <c r="M11" i="1" s="1"/>
  <c r="M12" i="1" s="1"/>
  <c r="M13" i="1" s="1"/>
  <c r="M2" i="1"/>
  <c r="M3" i="1" s="1"/>
  <c r="M4" i="1" s="1"/>
  <c r="H3" i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  <c r="P6" i="1"/>
  <c r="P5" i="1"/>
  <c r="P8" i="3" l="1"/>
  <c r="P6" i="3"/>
  <c r="P4" i="3"/>
  <c r="P3" i="3"/>
  <c r="K13" i="1"/>
  <c r="L13" i="1"/>
  <c r="B13" i="1"/>
  <c r="E13" i="1" s="1"/>
  <c r="K12" i="1"/>
  <c r="L12" i="1"/>
  <c r="B12" i="1"/>
  <c r="E12" i="1" s="1"/>
  <c r="K11" i="1"/>
  <c r="L11" i="1"/>
  <c r="B11" i="1"/>
  <c r="E11" i="1" s="1"/>
  <c r="K10" i="1"/>
  <c r="L10" i="1"/>
  <c r="B10" i="1"/>
  <c r="E10" i="1" s="1"/>
  <c r="K2" i="1"/>
  <c r="K9" i="1"/>
  <c r="L9" i="1"/>
  <c r="B9" i="1"/>
  <c r="E9" i="1" s="1"/>
  <c r="B8" i="1"/>
  <c r="E8" i="1" s="1"/>
  <c r="K8" i="1"/>
  <c r="L8" i="1"/>
  <c r="B7" i="1"/>
  <c r="E7" i="1" s="1"/>
  <c r="K7" i="1"/>
  <c r="L7" i="1"/>
  <c r="B6" i="1"/>
  <c r="E6" i="1" s="1"/>
  <c r="K6" i="1"/>
  <c r="L6" i="1"/>
  <c r="K5" i="1"/>
  <c r="L5" i="1"/>
  <c r="B5" i="1"/>
  <c r="E5" i="1" s="1"/>
  <c r="L3" i="1"/>
  <c r="L4" i="1"/>
  <c r="K4" i="1"/>
  <c r="B4" i="1"/>
  <c r="E4" i="1" s="1"/>
  <c r="P3" i="1"/>
  <c r="B3" i="1"/>
  <c r="E3" i="1" s="1"/>
  <c r="B2" i="1"/>
  <c r="K3" i="1"/>
  <c r="E2" i="1" l="1"/>
</calcChain>
</file>

<file path=xl/sharedStrings.xml><?xml version="1.0" encoding="utf-8"?>
<sst xmlns="http://schemas.openxmlformats.org/spreadsheetml/2006/main" count="58" uniqueCount="29">
  <si>
    <t>Data</t>
  </si>
  <si>
    <t>Vinte</t>
  </si>
  <si>
    <t>Perse</t>
  </si>
  <si>
    <t>Guadagno</t>
  </si>
  <si>
    <t>Vittoria %</t>
  </si>
  <si>
    <t>BANKROLL</t>
  </si>
  <si>
    <t>STAKE 5%</t>
  </si>
  <si>
    <t>Giocato</t>
  </si>
  <si>
    <t>SALDO</t>
  </si>
  <si>
    <t>ROI %</t>
  </si>
  <si>
    <t>ROE %</t>
  </si>
  <si>
    <t>Giocate</t>
  </si>
  <si>
    <t>YIELD %</t>
  </si>
  <si>
    <t>Quota Media</t>
  </si>
  <si>
    <t>GUADAGNO MEDIO</t>
  </si>
  <si>
    <t>VOLATILITÁ (DEV. ST)</t>
  </si>
  <si>
    <t>Z-SCORE</t>
  </si>
  <si>
    <t>EDGE</t>
  </si>
  <si>
    <t>BEP</t>
  </si>
  <si>
    <t>LEGENDA</t>
  </si>
  <si>
    <t>Z-Score</t>
  </si>
  <si>
    <t>-1&lt;x&lt;1</t>
  </si>
  <si>
    <t>normale</t>
  </si>
  <si>
    <t>&gt;2</t>
  </si>
  <si>
    <t>&lt;2</t>
  </si>
  <si>
    <t>Varianza Pos</t>
  </si>
  <si>
    <t>Varianza Neg</t>
  </si>
  <si>
    <t>Saldo</t>
  </si>
  <si>
    <t>GUADAGNO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</si>
</sst>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44" fontId="3" fillId="0" borderId="0" xfId="1" applyFont="1" applyAlignment="1">
      <alignment horizontal="center"/>
    </xf>
    <xf numFmtId="10" fontId="2" fillId="0" borderId="0" xfId="2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10" fontId="3" fillId="0" borderId="0" xfId="2" applyNumberFormat="1" applyFont="1" applyAlignment="1">
      <alignment horizontal="center"/>
    </xf>
    <xf numFmtId="44" fontId="2" fillId="0" borderId="0" xfId="0" applyNumberFormat="1" applyFont="1" applyAlignment="1">
      <alignment horizontal="center"/>
    </xf>
    <xf numFmtId="44" fontId="0" fillId="0" borderId="0" xfId="2" applyNumberFormat="1" applyFont="1" applyAlignment="1">
      <alignment horizontal="center"/>
    </xf>
    <xf numFmtId="2" fontId="0" fillId="0" borderId="0" xfId="2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10" fontId="2" fillId="0" borderId="3" xfId="2" applyNumberFormat="1" applyFont="1" applyBorder="1" applyAlignment="1">
      <alignment horizontal="center"/>
    </xf>
    <xf numFmtId="44" fontId="0" fillId="0" borderId="3" xfId="2" applyNumberFormat="1" applyFont="1" applyBorder="1" applyAlignment="1">
      <alignment horizontal="center"/>
    </xf>
    <xf numFmtId="10" fontId="0" fillId="0" borderId="3" xfId="2" applyNumberFormat="1" applyFont="1" applyBorder="1" applyAlignment="1">
      <alignment horizontal="center"/>
    </xf>
    <xf numFmtId="10" fontId="0" fillId="0" borderId="2" xfId="2" applyNumberFormat="1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44" fontId="3" fillId="2" borderId="4" xfId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44" fontId="3" fillId="2" borderId="5" xfId="1" applyFont="1" applyFill="1" applyBorder="1" applyAlignment="1">
      <alignment horizontal="center"/>
    </xf>
    <xf numFmtId="44" fontId="3" fillId="2" borderId="5" xfId="2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44" fontId="2" fillId="2" borderId="5" xfId="0" applyNumberFormat="1" applyFont="1" applyFill="1" applyBorder="1" applyAlignment="1">
      <alignment horizontal="center"/>
    </xf>
    <xf numFmtId="10" fontId="2" fillId="2" borderId="5" xfId="2" applyNumberFormat="1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2" fontId="2" fillId="2" borderId="6" xfId="0" applyNumberFormat="1" applyFont="1" applyFill="1" applyBorder="1" applyAlignment="1">
      <alignment horizontal="center"/>
    </xf>
  </cellXfs>
  <cellStyles count="3">
    <cellStyle name="Normale" xfId="0" builtinId="0"/>
    <cellStyle name="Percentuale" xfId="2" builtinId="5"/>
    <cellStyle name="Valuta" xfId="1" builtinId="4"/>
  </cellStyles>
  <dxfs count="16">
    <dxf>
      <font>
        <color rgb="FF9C0006"/>
      </font>
    </dxf>
    <dxf>
      <font>
        <strike val="0"/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strike val="0"/>
        <color rgb="FF00B050"/>
      </font>
    </dxf>
    <dxf>
      <font>
        <b/>
        <i val="0"/>
        <strike val="0"/>
      </font>
    </dxf>
    <dxf>
      <font>
        <b/>
        <i val="0"/>
        <strike val="0"/>
      </font>
    </dxf>
    <dxf>
      <font>
        <color rgb="FF9C0006"/>
      </font>
    </dxf>
    <dxf>
      <font>
        <strike val="0"/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strike val="0"/>
        <color rgb="FF00B050"/>
      </font>
    </dxf>
    <dxf>
      <font>
        <b/>
        <i val="0"/>
        <strike val="0"/>
      </font>
    </dxf>
    <dxf>
      <font>
        <b/>
        <i val="0"/>
        <strike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Performance vs Mercato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'Stagione 25-26'!$E$1</c:f>
              <c:strCache>
                <c:ptCount val="1"/>
                <c:pt idx="0">
                  <c:v>Vittoria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'Stagione 25-26'!$A$2:$A$28</c:f>
              <c:numCache>
                <c:formatCode>d\-mmm</c:formatCode>
                <c:ptCount val="27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</c:numCache>
            </c:numRef>
          </c:cat>
          <c:val>
            <c:numRef>
              <c:f>'Stagione 25-26'!$E$2:$E$28</c:f>
              <c:numCache>
                <c:formatCode>0.00%</c:formatCode>
                <c:ptCount val="27"/>
                <c:pt idx="0">
                  <c:v>0.58041958041958042</c:v>
                </c:pt>
                <c:pt idx="1">
                  <c:v>0.56976744186046513</c:v>
                </c:pt>
                <c:pt idx="2">
                  <c:v>0.60256410256410253</c:v>
                </c:pt>
                <c:pt idx="3">
                  <c:v>0.5161290322580645</c:v>
                </c:pt>
                <c:pt idx="4">
                  <c:v>0.48275862068965519</c:v>
                </c:pt>
                <c:pt idx="5">
                  <c:v>0.47058823529411764</c:v>
                </c:pt>
                <c:pt idx="6">
                  <c:v>0.48148148148148145</c:v>
                </c:pt>
                <c:pt idx="7">
                  <c:v>0.61290322580645162</c:v>
                </c:pt>
                <c:pt idx="8">
                  <c:v>0.51724137931034486</c:v>
                </c:pt>
                <c:pt idx="9">
                  <c:v>0.49056603773584906</c:v>
                </c:pt>
                <c:pt idx="10">
                  <c:v>0.60317460317460314</c:v>
                </c:pt>
                <c:pt idx="11">
                  <c:v>0.53846153846153844</c:v>
                </c:pt>
                <c:pt idx="12">
                  <c:v>0.5</c:v>
                </c:pt>
                <c:pt idx="13">
                  <c:v>0.51948051948051943</c:v>
                </c:pt>
                <c:pt idx="14">
                  <c:v>0.56097560975609762</c:v>
                </c:pt>
                <c:pt idx="15">
                  <c:v>0.62857142857142856</c:v>
                </c:pt>
                <c:pt idx="16">
                  <c:v>0.61904761904761907</c:v>
                </c:pt>
                <c:pt idx="17">
                  <c:v>0.41666666666666669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24-2943-8927-62C92550A8E8}"/>
            </c:ext>
          </c:extLst>
        </c:ser>
        <c:ser>
          <c:idx val="1"/>
          <c:order val="1"/>
          <c:tx>
            <c:strRef>
              <c:f>'Stagione 25-26'!$G$1</c:f>
              <c:strCache>
                <c:ptCount val="1"/>
                <c:pt idx="0">
                  <c:v>BEP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'Stagione 25-26'!$A$2:$A$28</c:f>
              <c:numCache>
                <c:formatCode>d\-mmm</c:formatCode>
                <c:ptCount val="27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</c:numCache>
            </c:numRef>
          </c:cat>
          <c:val>
            <c:numRef>
              <c:f>'Stagione 25-26'!$G$2:$G$28</c:f>
              <c:numCache>
                <c:formatCode>0.00%</c:formatCode>
                <c:ptCount val="27"/>
                <c:pt idx="0">
                  <c:v>0.55359464980089346</c:v>
                </c:pt>
                <c:pt idx="1">
                  <c:v>0.5561937003807329</c:v>
                </c:pt>
                <c:pt idx="2">
                  <c:v>0.55940330302410157</c:v>
                </c:pt>
                <c:pt idx="3">
                  <c:v>0.56007226737922178</c:v>
                </c:pt>
                <c:pt idx="4">
                  <c:v>0.54102795320848118</c:v>
                </c:pt>
                <c:pt idx="5">
                  <c:v>0.53543307081554958</c:v>
                </c:pt>
                <c:pt idx="6">
                  <c:v>0.54780876507664567</c:v>
                </c:pt>
                <c:pt idx="7">
                  <c:v>0.56120659417748153</c:v>
                </c:pt>
                <c:pt idx="8">
                  <c:v>0.54215741248899363</c:v>
                </c:pt>
                <c:pt idx="9">
                  <c:v>0.56057303017374194</c:v>
                </c:pt>
                <c:pt idx="10">
                  <c:v>0.56140956994663282</c:v>
                </c:pt>
                <c:pt idx="11">
                  <c:v>0.52953156835752302</c:v>
                </c:pt>
                <c:pt idx="12">
                  <c:v>0.55521283161969237</c:v>
                </c:pt>
                <c:pt idx="13">
                  <c:v>0.52160953804184873</c:v>
                </c:pt>
                <c:pt idx="14">
                  <c:v>0.52468399711306057</c:v>
                </c:pt>
                <c:pt idx="15">
                  <c:v>0.5332180430609349</c:v>
                </c:pt>
                <c:pt idx="16">
                  <c:v>0.5277650297454255</c:v>
                </c:pt>
                <c:pt idx="17">
                  <c:v>0.52615289392233866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24-2943-8927-62C92550A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4326144"/>
        <c:axId val="1744326592"/>
      </c:lineChart>
      <c:dateAx>
        <c:axId val="17443261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4326592"/>
        <c:crosses val="autoZero"/>
        <c:auto val="1"/>
        <c:lblOffset val="100"/>
        <c:baseTimeUnit val="days"/>
      </c:dateAx>
      <c:valAx>
        <c:axId val="1744326592"/>
        <c:scaling>
          <c:orientation val="minMax"/>
          <c:max val="0.8"/>
          <c:min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432614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Saldo Progressivo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'Stagione 25-26'!$M$1</c:f>
              <c:strCache>
                <c:ptCount val="1"/>
                <c:pt idx="0">
                  <c:v>Saldo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'Stagione 25-26'!$A$2:$A$28</c:f>
              <c:numCache>
                <c:formatCode>d\-mmm</c:formatCode>
                <c:ptCount val="27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</c:numCache>
            </c:numRef>
          </c:cat>
          <c:val>
            <c:numRef>
              <c:f>'Stagione 25-26'!$M$2:$M$28</c:f>
              <c:numCache>
                <c:formatCode>_("€"* #,##0.00_);_("€"* \(#,##0.00\);_("€"* "-"??_);_(@_)</c:formatCode>
                <c:ptCount val="27"/>
                <c:pt idx="0">
                  <c:v>10324.049999999999</c:v>
                </c:pt>
                <c:pt idx="1">
                  <c:v>10429.57</c:v>
                </c:pt>
                <c:pt idx="2">
                  <c:v>10727.57</c:v>
                </c:pt>
                <c:pt idx="3">
                  <c:v>10613.07</c:v>
                </c:pt>
                <c:pt idx="4">
                  <c:v>10452.57</c:v>
                </c:pt>
                <c:pt idx="5">
                  <c:v>10339.07</c:v>
                </c:pt>
                <c:pt idx="6">
                  <c:v>10038.57</c:v>
                </c:pt>
                <c:pt idx="7">
                  <c:v>10300.07</c:v>
                </c:pt>
                <c:pt idx="8">
                  <c:v>10236.07</c:v>
                </c:pt>
                <c:pt idx="9">
                  <c:v>9889.57</c:v>
                </c:pt>
                <c:pt idx="10">
                  <c:v>10104.57</c:v>
                </c:pt>
                <c:pt idx="11">
                  <c:v>10126.07</c:v>
                </c:pt>
                <c:pt idx="12">
                  <c:v>10075.57</c:v>
                </c:pt>
                <c:pt idx="13">
                  <c:v>10062.07</c:v>
                </c:pt>
                <c:pt idx="14">
                  <c:v>10190.57</c:v>
                </c:pt>
                <c:pt idx="15">
                  <c:v>10783.07</c:v>
                </c:pt>
                <c:pt idx="16">
                  <c:v>10959.07</c:v>
                </c:pt>
                <c:pt idx="17">
                  <c:v>10428.07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7-8E4B-9BC8-5DA6B90E5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2005952"/>
        <c:axId val="1751994304"/>
      </c:lineChart>
      <c:dateAx>
        <c:axId val="17520059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1994304"/>
        <c:crosses val="autoZero"/>
        <c:auto val="1"/>
        <c:lblOffset val="100"/>
        <c:baseTimeUnit val="days"/>
      </c:dateAx>
      <c:valAx>
        <c:axId val="175199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200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Performance vs Mercato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Dicembre!$E$1</c:f>
              <c:strCache>
                <c:ptCount val="1"/>
                <c:pt idx="0">
                  <c:v>Vittoria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Dicembre!$A$2:$A$28</c:f>
              <c:numCache>
                <c:formatCode>d\-mmm</c:formatCode>
                <c:ptCount val="27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</c:numCache>
            </c:numRef>
          </c:cat>
          <c:val>
            <c:numRef>
              <c:f>Dicembre!$E$2:$E$28</c:f>
              <c:numCache>
                <c:formatCode>0.00%</c:formatCode>
                <c:ptCount val="27"/>
                <c:pt idx="0">
                  <c:v>0.58041958041958042</c:v>
                </c:pt>
                <c:pt idx="1">
                  <c:v>0.56976744186046513</c:v>
                </c:pt>
                <c:pt idx="2">
                  <c:v>0.60256410256410253</c:v>
                </c:pt>
                <c:pt idx="3">
                  <c:v>0.5161290322580645</c:v>
                </c:pt>
                <c:pt idx="4">
                  <c:v>0.48275862068965519</c:v>
                </c:pt>
                <c:pt idx="5">
                  <c:v>0.47058823529411764</c:v>
                </c:pt>
                <c:pt idx="6">
                  <c:v>0.48148148148148145</c:v>
                </c:pt>
                <c:pt idx="7">
                  <c:v>0.61290322580645162</c:v>
                </c:pt>
                <c:pt idx="8">
                  <c:v>0.51724137931034486</c:v>
                </c:pt>
                <c:pt idx="9">
                  <c:v>0.49056603773584906</c:v>
                </c:pt>
                <c:pt idx="10">
                  <c:v>0.60317460317460314</c:v>
                </c:pt>
                <c:pt idx="11">
                  <c:v>0.53846153846153844</c:v>
                </c:pt>
                <c:pt idx="12">
                  <c:v>0.5</c:v>
                </c:pt>
                <c:pt idx="13">
                  <c:v>0.51948051948051943</c:v>
                </c:pt>
                <c:pt idx="14">
                  <c:v>0.56097560975609762</c:v>
                </c:pt>
                <c:pt idx="15">
                  <c:v>0.62857142857142856</c:v>
                </c:pt>
                <c:pt idx="16">
                  <c:v>0.61904761904761907</c:v>
                </c:pt>
                <c:pt idx="17">
                  <c:v>0.41666666666666669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03-A54D-9B6B-B58680043194}"/>
            </c:ext>
          </c:extLst>
        </c:ser>
        <c:ser>
          <c:idx val="1"/>
          <c:order val="1"/>
          <c:tx>
            <c:strRef>
              <c:f>Dicembre!$G$1</c:f>
              <c:strCache>
                <c:ptCount val="1"/>
                <c:pt idx="0">
                  <c:v>BEP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Dicembre!$A$2:$A$28</c:f>
              <c:numCache>
                <c:formatCode>d\-mmm</c:formatCode>
                <c:ptCount val="27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</c:numCache>
            </c:numRef>
          </c:cat>
          <c:val>
            <c:numRef>
              <c:f>Dicembre!$G$2:$G$28</c:f>
              <c:numCache>
                <c:formatCode>0.00%</c:formatCode>
                <c:ptCount val="27"/>
                <c:pt idx="0">
                  <c:v>0.55359464980089346</c:v>
                </c:pt>
                <c:pt idx="1">
                  <c:v>0.5561937003807329</c:v>
                </c:pt>
                <c:pt idx="2">
                  <c:v>0.55940330302410157</c:v>
                </c:pt>
                <c:pt idx="3">
                  <c:v>0.56007226737922178</c:v>
                </c:pt>
                <c:pt idx="4">
                  <c:v>0.54102795320848118</c:v>
                </c:pt>
                <c:pt idx="5">
                  <c:v>0.53543307081554958</c:v>
                </c:pt>
                <c:pt idx="6">
                  <c:v>0.54780876507664567</c:v>
                </c:pt>
                <c:pt idx="7">
                  <c:v>0.56120659417748153</c:v>
                </c:pt>
                <c:pt idx="8">
                  <c:v>0.54215741248899363</c:v>
                </c:pt>
                <c:pt idx="9">
                  <c:v>0.56057303017374194</c:v>
                </c:pt>
                <c:pt idx="10">
                  <c:v>0.56140956994663282</c:v>
                </c:pt>
                <c:pt idx="11">
                  <c:v>0.52953156835752302</c:v>
                </c:pt>
                <c:pt idx="12">
                  <c:v>0.55521283161969237</c:v>
                </c:pt>
                <c:pt idx="13">
                  <c:v>0.52160953804184873</c:v>
                </c:pt>
                <c:pt idx="14">
                  <c:v>0.52468399711306057</c:v>
                </c:pt>
                <c:pt idx="15">
                  <c:v>0.5332180430609349</c:v>
                </c:pt>
                <c:pt idx="16">
                  <c:v>0.5277650297454255</c:v>
                </c:pt>
                <c:pt idx="17">
                  <c:v>0.52615289392233866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03-A54D-9B6B-B58680043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4326144"/>
        <c:axId val="1744326592"/>
      </c:lineChart>
      <c:dateAx>
        <c:axId val="17443261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4326592"/>
        <c:crosses val="autoZero"/>
        <c:auto val="1"/>
        <c:lblOffset val="100"/>
        <c:baseTimeUnit val="days"/>
      </c:dateAx>
      <c:valAx>
        <c:axId val="1744326592"/>
        <c:scaling>
          <c:orientation val="minMax"/>
          <c:max val="0.8"/>
          <c:min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432614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Saldo Progressivo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Dicembre!$M$1</c:f>
              <c:strCache>
                <c:ptCount val="1"/>
                <c:pt idx="0">
                  <c:v>Saldo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Dicembre!$A$2:$A$28</c:f>
              <c:numCache>
                <c:formatCode>d\-mmm</c:formatCode>
                <c:ptCount val="27"/>
                <c:pt idx="0">
                  <c:v>45996</c:v>
                </c:pt>
                <c:pt idx="1">
                  <c:v>45997</c:v>
                </c:pt>
                <c:pt idx="2">
                  <c:v>45998</c:v>
                </c:pt>
                <c:pt idx="3">
                  <c:v>45999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46004</c:v>
                </c:pt>
                <c:pt idx="9">
                  <c:v>46005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46011</c:v>
                </c:pt>
                <c:pt idx="16">
                  <c:v>46012</c:v>
                </c:pt>
                <c:pt idx="17">
                  <c:v>46013</c:v>
                </c:pt>
                <c:pt idx="18">
                  <c:v>46014</c:v>
                </c:pt>
                <c:pt idx="19">
                  <c:v>46015</c:v>
                </c:pt>
                <c:pt idx="20">
                  <c:v>46016</c:v>
                </c:pt>
                <c:pt idx="21">
                  <c:v>46017</c:v>
                </c:pt>
                <c:pt idx="22">
                  <c:v>46018</c:v>
                </c:pt>
                <c:pt idx="23">
                  <c:v>46019</c:v>
                </c:pt>
                <c:pt idx="24">
                  <c:v>46020</c:v>
                </c:pt>
                <c:pt idx="25">
                  <c:v>46021</c:v>
                </c:pt>
                <c:pt idx="26">
                  <c:v>46022</c:v>
                </c:pt>
              </c:numCache>
            </c:numRef>
          </c:cat>
          <c:val>
            <c:numRef>
              <c:f>Dicembre!$M$2:$M$28</c:f>
              <c:numCache>
                <c:formatCode>_("€"* #,##0.00_);_("€"* \(#,##0.00\);_("€"* "-"??_);_(@_)</c:formatCode>
                <c:ptCount val="27"/>
                <c:pt idx="0">
                  <c:v>10324.049999999999</c:v>
                </c:pt>
                <c:pt idx="1">
                  <c:v>10429.57</c:v>
                </c:pt>
                <c:pt idx="2">
                  <c:v>10727.57</c:v>
                </c:pt>
                <c:pt idx="3">
                  <c:v>10613.07</c:v>
                </c:pt>
                <c:pt idx="4">
                  <c:v>10452.57</c:v>
                </c:pt>
                <c:pt idx="5">
                  <c:v>10339.07</c:v>
                </c:pt>
                <c:pt idx="6">
                  <c:v>10038.57</c:v>
                </c:pt>
                <c:pt idx="7">
                  <c:v>10300.07</c:v>
                </c:pt>
                <c:pt idx="8">
                  <c:v>10236.07</c:v>
                </c:pt>
                <c:pt idx="9">
                  <c:v>9889.57</c:v>
                </c:pt>
                <c:pt idx="10">
                  <c:v>10104.57</c:v>
                </c:pt>
                <c:pt idx="11">
                  <c:v>10126.07</c:v>
                </c:pt>
                <c:pt idx="12">
                  <c:v>10075.57</c:v>
                </c:pt>
                <c:pt idx="13">
                  <c:v>10062.07</c:v>
                </c:pt>
                <c:pt idx="14">
                  <c:v>10190.57</c:v>
                </c:pt>
                <c:pt idx="15">
                  <c:v>10783.07</c:v>
                </c:pt>
                <c:pt idx="16">
                  <c:v>10959.07</c:v>
                </c:pt>
                <c:pt idx="17">
                  <c:v>10428.07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9-DC45-9224-FC138BF38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2005952"/>
        <c:axId val="1751994304"/>
      </c:lineChart>
      <c:dateAx>
        <c:axId val="17520059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1994304"/>
        <c:crosses val="autoZero"/>
        <c:auto val="1"/>
        <c:lblOffset val="100"/>
        <c:baseTimeUnit val="days"/>
      </c:dateAx>
      <c:valAx>
        <c:axId val="175199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200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6350</xdr:colOff>
      <xdr:row>8</xdr:row>
      <xdr:rowOff>19050</xdr:rowOff>
    </xdr:from>
    <xdr:to>
      <xdr:col>19</xdr:col>
      <xdr:colOff>0</xdr:colOff>
      <xdr:row>21</xdr:row>
      <xdr:rowOff>120650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DEA4DBB-4BE7-E141-BAF5-7C456E353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6350</xdr:colOff>
      <xdr:row>21</xdr:row>
      <xdr:rowOff>95250</xdr:rowOff>
    </xdr:from>
    <xdr:to>
      <xdr:col>19</xdr:col>
      <xdr:colOff>0</xdr:colOff>
      <xdr:row>34</xdr:row>
      <xdr:rowOff>196850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66569AB-F265-6543-AAD1-AA4412F44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6350</xdr:colOff>
      <xdr:row>8</xdr:row>
      <xdr:rowOff>6350</xdr:rowOff>
    </xdr:from>
    <xdr:to>
      <xdr:col>19</xdr:col>
      <xdr:colOff>0</xdr:colOff>
      <xdr:row>21</xdr:row>
      <xdr:rowOff>107950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4770ED8-6FB5-7708-714D-E35FFD9AE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6350</xdr:colOff>
      <xdr:row>21</xdr:row>
      <xdr:rowOff>95250</xdr:rowOff>
    </xdr:from>
    <xdr:to>
      <xdr:col>19</xdr:col>
      <xdr:colOff>0</xdr:colOff>
      <xdr:row>34</xdr:row>
      <xdr:rowOff>196850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B1A145C8-2F36-69BF-B959-46F9A607A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6B4D-C217-1E4F-8D25-7FD365FFC9D7}">
  <dimension ref="A1:T59"/>
  <sheetViews>
    <sheetView tabSelected="1" workbookViewId="0">
      <selection activeCell="B20" sqref="B20"/>
    </sheetView>
  </sheetViews>
  <sheetFormatPr baseColWidth="10" defaultRowHeight="16" x14ac:dyDescent="0.2"/>
  <cols>
    <col min="1" max="4" width="10.83203125" style="1"/>
    <col min="5" max="5" width="10.83203125" style="3"/>
    <col min="6" max="6" width="11.5" style="13" bestFit="1" customWidth="1"/>
    <col min="7" max="7" width="12.6640625" style="13" bestFit="1" customWidth="1"/>
    <col min="8" max="8" width="12.6640625" style="13" customWidth="1"/>
    <col min="9" max="9" width="10.83203125" style="2"/>
    <col min="10" max="10" width="11.1640625" style="2" bestFit="1" customWidth="1"/>
    <col min="11" max="11" width="11.33203125" style="3" bestFit="1" customWidth="1"/>
    <col min="12" max="12" width="10.83203125" style="3"/>
    <col min="13" max="13" width="11.83203125" style="3" bestFit="1" customWidth="1"/>
    <col min="14" max="14" width="10.83203125" style="1"/>
    <col min="15" max="15" width="18.5" style="1" bestFit="1" customWidth="1"/>
    <col min="16" max="16" width="12.6640625" style="1" bestFit="1" customWidth="1"/>
    <col min="20" max="20" width="11.6640625" bestFit="1" customWidth="1"/>
  </cols>
  <sheetData>
    <row r="1" spans="1:20" x14ac:dyDescent="0.2">
      <c r="A1" s="4" t="s">
        <v>0</v>
      </c>
      <c r="B1" s="4" t="s">
        <v>11</v>
      </c>
      <c r="C1" s="4" t="s">
        <v>1</v>
      </c>
      <c r="D1" s="4" t="s">
        <v>2</v>
      </c>
      <c r="E1" s="8" t="s">
        <v>4</v>
      </c>
      <c r="F1" s="8" t="s">
        <v>13</v>
      </c>
      <c r="G1" s="8" t="s">
        <v>18</v>
      </c>
      <c r="H1" s="8" t="s">
        <v>17</v>
      </c>
      <c r="I1" s="5" t="s">
        <v>7</v>
      </c>
      <c r="J1" s="5" t="s">
        <v>3</v>
      </c>
      <c r="K1" s="8" t="s">
        <v>12</v>
      </c>
      <c r="L1" s="8" t="s">
        <v>10</v>
      </c>
      <c r="M1" s="22" t="s">
        <v>27</v>
      </c>
      <c r="O1" s="26" t="s">
        <v>5</v>
      </c>
      <c r="P1" s="27">
        <v>10000</v>
      </c>
    </row>
    <row r="2" spans="1:20" x14ac:dyDescent="0.2">
      <c r="A2" s="9">
        <v>45996</v>
      </c>
      <c r="B2" s="1">
        <f>C2+D2</f>
        <v>143</v>
      </c>
      <c r="C2" s="1">
        <v>83</v>
      </c>
      <c r="D2" s="1">
        <v>60</v>
      </c>
      <c r="E2" s="3">
        <f>C2/B2</f>
        <v>0.58041958041958042</v>
      </c>
      <c r="F2" s="14">
        <v>1.806375839</v>
      </c>
      <c r="G2" s="3">
        <f>1/F2</f>
        <v>0.55359464980089346</v>
      </c>
      <c r="H2" s="3">
        <f>E2-G2</f>
        <v>2.682493061868696E-2</v>
      </c>
      <c r="I2" s="2">
        <v>7137</v>
      </c>
      <c r="J2" s="2">
        <v>324.05</v>
      </c>
      <c r="K2" s="3">
        <f>J2/I2</f>
        <v>4.540423146980524E-2</v>
      </c>
      <c r="L2" s="3">
        <f>J2/$P$1</f>
        <v>3.2405000000000003E-2</v>
      </c>
      <c r="M2" s="23">
        <f>J2+P1</f>
        <v>10324.049999999999</v>
      </c>
      <c r="O2" s="28" t="s">
        <v>6</v>
      </c>
      <c r="P2" s="29">
        <v>50</v>
      </c>
      <c r="S2" s="2" t="s">
        <v>19</v>
      </c>
    </row>
    <row r="3" spans="1:20" x14ac:dyDescent="0.2">
      <c r="A3" s="9">
        <v>45997</v>
      </c>
      <c r="B3" s="1">
        <f>C3+D3</f>
        <v>86</v>
      </c>
      <c r="C3" s="1">
        <v>49</v>
      </c>
      <c r="D3" s="1">
        <v>37</v>
      </c>
      <c r="E3" s="3">
        <f t="shared" ref="E3:E19" si="0">C3/B3</f>
        <v>0.56976744186046513</v>
      </c>
      <c r="F3" s="14">
        <v>1.7979347830000001</v>
      </c>
      <c r="G3" s="3">
        <f t="shared" ref="G3:G19" si="1">1/F3</f>
        <v>0.5561937003807329</v>
      </c>
      <c r="H3" s="3">
        <f t="shared" ref="H3:H19" si="2">E3-G3</f>
        <v>1.3573741479732226E-2</v>
      </c>
      <c r="I3" s="2">
        <v>4296</v>
      </c>
      <c r="J3" s="2">
        <v>105.52</v>
      </c>
      <c r="K3" s="3">
        <f>J3/I3</f>
        <v>2.4562383612662941E-2</v>
      </c>
      <c r="L3" s="3">
        <f t="shared" ref="L3:L19" si="3">J3/$P$1</f>
        <v>1.0551999999999999E-2</v>
      </c>
      <c r="M3" s="23">
        <f>M2+J3</f>
        <v>10429.57</v>
      </c>
      <c r="O3" s="28" t="s">
        <v>8</v>
      </c>
      <c r="P3" s="29">
        <f>P1+SUM(J2:J59)</f>
        <v>10428.07</v>
      </c>
      <c r="R3" s="3"/>
      <c r="S3" s="1" t="s">
        <v>20</v>
      </c>
    </row>
    <row r="4" spans="1:20" x14ac:dyDescent="0.2">
      <c r="A4" s="9">
        <v>45998</v>
      </c>
      <c r="B4" s="1">
        <f t="shared" ref="B4:B19" si="4">C4+D4</f>
        <v>78</v>
      </c>
      <c r="C4" s="1">
        <v>47</v>
      </c>
      <c r="D4" s="1">
        <v>31</v>
      </c>
      <c r="E4" s="3">
        <f t="shared" si="0"/>
        <v>0.60256410256410253</v>
      </c>
      <c r="F4" s="14">
        <v>1.787619048</v>
      </c>
      <c r="G4" s="3">
        <f t="shared" si="1"/>
        <v>0.55940330302410157</v>
      </c>
      <c r="H4" s="3">
        <f t="shared" si="2"/>
        <v>4.316079954000096E-2</v>
      </c>
      <c r="I4" s="2">
        <v>3900</v>
      </c>
      <c r="J4" s="2">
        <v>298</v>
      </c>
      <c r="K4" s="3">
        <f t="shared" ref="K4:K19" si="5">J4/I4</f>
        <v>7.6410256410256408E-2</v>
      </c>
      <c r="L4" s="3">
        <f t="shared" si="3"/>
        <v>2.98E-2</v>
      </c>
      <c r="M4" s="23">
        <f>M3+J4</f>
        <v>10727.57</v>
      </c>
      <c r="O4" s="28" t="s">
        <v>28</v>
      </c>
      <c r="P4" s="30">
        <f>SUM(J2:J59)</f>
        <v>428.06999999999994</v>
      </c>
      <c r="R4" s="12"/>
      <c r="S4" s="16" t="s">
        <v>21</v>
      </c>
      <c r="T4" s="1" t="s">
        <v>22</v>
      </c>
    </row>
    <row r="5" spans="1:20" x14ac:dyDescent="0.2">
      <c r="A5" s="9">
        <v>45999</v>
      </c>
      <c r="B5" s="1">
        <f t="shared" si="4"/>
        <v>31</v>
      </c>
      <c r="C5" s="1">
        <v>16</v>
      </c>
      <c r="D5" s="1">
        <v>15</v>
      </c>
      <c r="E5" s="3">
        <f t="shared" si="0"/>
        <v>0.5161290322580645</v>
      </c>
      <c r="F5" s="14">
        <v>1.7854838710000001</v>
      </c>
      <c r="G5" s="3">
        <f t="shared" si="1"/>
        <v>0.56007226737922178</v>
      </c>
      <c r="H5" s="3">
        <f t="shared" si="2"/>
        <v>-4.3943235121157276E-2</v>
      </c>
      <c r="I5" s="2">
        <v>1550</v>
      </c>
      <c r="J5" s="2">
        <v>-114.5</v>
      </c>
      <c r="K5" s="3">
        <f t="shared" si="5"/>
        <v>-7.3870967741935481E-2</v>
      </c>
      <c r="L5" s="3">
        <f t="shared" si="3"/>
        <v>-1.145E-2</v>
      </c>
      <c r="M5" s="23">
        <f t="shared" ref="M5:M19" si="6">M4+J5</f>
        <v>10613.07</v>
      </c>
      <c r="O5" s="31" t="s">
        <v>14</v>
      </c>
      <c r="P5" s="32">
        <f>AVERAGE(J2:J59)</f>
        <v>23.781666666666663</v>
      </c>
      <c r="R5" s="3"/>
      <c r="S5" s="16" t="s">
        <v>23</v>
      </c>
      <c r="T5" s="1" t="s">
        <v>25</v>
      </c>
    </row>
    <row r="6" spans="1:20" x14ac:dyDescent="0.2">
      <c r="A6" s="9">
        <v>46000</v>
      </c>
      <c r="B6" s="1">
        <f t="shared" si="4"/>
        <v>29</v>
      </c>
      <c r="C6" s="1">
        <v>14</v>
      </c>
      <c r="D6" s="1">
        <v>15</v>
      </c>
      <c r="E6" s="3">
        <f t="shared" si="0"/>
        <v>0.48275862068965519</v>
      </c>
      <c r="F6" s="14">
        <v>1.848333333</v>
      </c>
      <c r="G6" s="3">
        <f t="shared" si="1"/>
        <v>0.54102795320848118</v>
      </c>
      <c r="H6" s="3">
        <f t="shared" si="2"/>
        <v>-5.8269332518825989E-2</v>
      </c>
      <c r="I6" s="2">
        <v>1450</v>
      </c>
      <c r="J6" s="2">
        <v>-160.5</v>
      </c>
      <c r="K6" s="3">
        <f t="shared" si="5"/>
        <v>-0.11068965517241379</v>
      </c>
      <c r="L6" s="3">
        <f t="shared" si="3"/>
        <v>-1.6049999999999998E-2</v>
      </c>
      <c r="M6" s="23">
        <f t="shared" si="6"/>
        <v>10452.57</v>
      </c>
      <c r="O6" s="31" t="s">
        <v>9</v>
      </c>
      <c r="P6" s="33">
        <f>SUM(J2:J59)/P1</f>
        <v>4.2806999999999991E-2</v>
      </c>
      <c r="R6" s="3"/>
      <c r="S6" s="1" t="s">
        <v>24</v>
      </c>
      <c r="T6" s="1" t="s">
        <v>26</v>
      </c>
    </row>
    <row r="7" spans="1:20" x14ac:dyDescent="0.2">
      <c r="A7" s="9">
        <v>46001</v>
      </c>
      <c r="B7" s="1">
        <f t="shared" si="4"/>
        <v>17</v>
      </c>
      <c r="C7" s="1">
        <v>8</v>
      </c>
      <c r="D7" s="1">
        <v>9</v>
      </c>
      <c r="E7" s="3">
        <f t="shared" si="0"/>
        <v>0.47058823529411764</v>
      </c>
      <c r="F7" s="14">
        <v>1.8676470590000001</v>
      </c>
      <c r="G7" s="3">
        <f t="shared" si="1"/>
        <v>0.53543307081554958</v>
      </c>
      <c r="H7" s="3">
        <f t="shared" si="2"/>
        <v>-6.4844835521431943E-2</v>
      </c>
      <c r="I7" s="2">
        <v>850</v>
      </c>
      <c r="J7" s="2">
        <v>-113.5</v>
      </c>
      <c r="K7" s="3">
        <f t="shared" si="5"/>
        <v>-0.13352941176470587</v>
      </c>
      <c r="L7" s="3">
        <f t="shared" si="3"/>
        <v>-1.1350000000000001E-2</v>
      </c>
      <c r="M7" s="23">
        <f t="shared" si="6"/>
        <v>10339.07</v>
      </c>
      <c r="O7" s="31" t="s">
        <v>15</v>
      </c>
      <c r="P7" s="34">
        <f>_xlfn.STDEV.S(J2:J59)</f>
        <v>272.16835240343431</v>
      </c>
      <c r="R7" s="3"/>
      <c r="S7" s="1"/>
    </row>
    <row r="8" spans="1:20" ht="17" thickBot="1" x14ac:dyDescent="0.25">
      <c r="A8" s="9">
        <v>46002</v>
      </c>
      <c r="B8" s="1">
        <f t="shared" si="4"/>
        <v>54</v>
      </c>
      <c r="C8" s="1">
        <v>26</v>
      </c>
      <c r="D8" s="1">
        <v>28</v>
      </c>
      <c r="E8" s="3">
        <f t="shared" si="0"/>
        <v>0.48148148148148145</v>
      </c>
      <c r="F8" s="14">
        <v>1.8254545449999999</v>
      </c>
      <c r="G8" s="3">
        <f t="shared" si="1"/>
        <v>0.54780876507664567</v>
      </c>
      <c r="H8" s="3">
        <f t="shared" si="2"/>
        <v>-6.632728359516421E-2</v>
      </c>
      <c r="I8" s="2">
        <v>2700</v>
      </c>
      <c r="J8" s="2">
        <v>-300.5</v>
      </c>
      <c r="K8" s="3">
        <f t="shared" si="5"/>
        <v>-0.1112962962962963</v>
      </c>
      <c r="L8" s="3">
        <f t="shared" si="3"/>
        <v>-3.005E-2</v>
      </c>
      <c r="M8" s="23">
        <f t="shared" si="6"/>
        <v>10038.57</v>
      </c>
      <c r="O8" s="35" t="s">
        <v>16</v>
      </c>
      <c r="P8" s="36">
        <f>(J19- P5) / P7</f>
        <v>-2.0383768420081241</v>
      </c>
      <c r="R8" s="3"/>
      <c r="S8" s="1"/>
    </row>
    <row r="9" spans="1:20" x14ac:dyDescent="0.2">
      <c r="A9" s="9">
        <v>46003</v>
      </c>
      <c r="B9" s="1">
        <f t="shared" si="4"/>
        <v>62</v>
      </c>
      <c r="C9" s="1">
        <v>38</v>
      </c>
      <c r="D9" s="1">
        <v>24</v>
      </c>
      <c r="E9" s="3">
        <f t="shared" si="0"/>
        <v>0.61290322580645162</v>
      </c>
      <c r="F9" s="14">
        <v>1.7818750000000001</v>
      </c>
      <c r="G9" s="3">
        <f t="shared" si="1"/>
        <v>0.56120659417748153</v>
      </c>
      <c r="H9" s="3">
        <f t="shared" si="2"/>
        <v>5.1696631628970091E-2</v>
      </c>
      <c r="I9" s="2">
        <v>3100</v>
      </c>
      <c r="J9" s="2">
        <v>261.5</v>
      </c>
      <c r="K9" s="3">
        <f t="shared" si="5"/>
        <v>8.4354838709677415E-2</v>
      </c>
      <c r="L9" s="3">
        <f t="shared" si="3"/>
        <v>2.615E-2</v>
      </c>
      <c r="M9" s="23">
        <f t="shared" si="6"/>
        <v>10300.07</v>
      </c>
      <c r="R9" s="3"/>
      <c r="S9" s="1"/>
    </row>
    <row r="10" spans="1:20" x14ac:dyDescent="0.2">
      <c r="A10" s="9">
        <v>46004</v>
      </c>
      <c r="B10" s="1">
        <f t="shared" si="4"/>
        <v>29</v>
      </c>
      <c r="C10" s="1">
        <v>15</v>
      </c>
      <c r="D10" s="1">
        <v>14</v>
      </c>
      <c r="E10" s="3">
        <f t="shared" si="0"/>
        <v>0.51724137931034486</v>
      </c>
      <c r="F10" s="14">
        <v>1.8444827589999999</v>
      </c>
      <c r="G10" s="3">
        <f t="shared" si="1"/>
        <v>0.54215741248899363</v>
      </c>
      <c r="H10" s="3">
        <f t="shared" si="2"/>
        <v>-2.4916033178648767E-2</v>
      </c>
      <c r="I10" s="2">
        <v>1450</v>
      </c>
      <c r="J10" s="2">
        <v>-64</v>
      </c>
      <c r="K10" s="3">
        <f t="shared" si="5"/>
        <v>-4.4137931034482755E-2</v>
      </c>
      <c r="L10" s="3">
        <f t="shared" si="3"/>
        <v>-6.4000000000000003E-3</v>
      </c>
      <c r="M10" s="23">
        <f t="shared" si="6"/>
        <v>10236.07</v>
      </c>
      <c r="R10" s="3"/>
      <c r="S10" s="1"/>
    </row>
    <row r="11" spans="1:20" x14ac:dyDescent="0.2">
      <c r="A11" s="9">
        <v>46005</v>
      </c>
      <c r="B11" s="1">
        <f t="shared" si="4"/>
        <v>53</v>
      </c>
      <c r="C11" s="1">
        <v>26</v>
      </c>
      <c r="D11" s="1">
        <v>27</v>
      </c>
      <c r="E11" s="3">
        <f t="shared" si="0"/>
        <v>0.49056603773584906</v>
      </c>
      <c r="F11" s="14">
        <v>1.783888889</v>
      </c>
      <c r="G11" s="3">
        <f t="shared" si="1"/>
        <v>0.56057303017374194</v>
      </c>
      <c r="H11" s="3">
        <f t="shared" si="2"/>
        <v>-7.0006992437892879E-2</v>
      </c>
      <c r="I11" s="2">
        <v>2650</v>
      </c>
      <c r="J11" s="2">
        <v>-346.5</v>
      </c>
      <c r="K11" s="3">
        <f t="shared" si="5"/>
        <v>-0.13075471698113209</v>
      </c>
      <c r="L11" s="3">
        <f t="shared" si="3"/>
        <v>-3.465E-2</v>
      </c>
      <c r="M11" s="23">
        <f t="shared" si="6"/>
        <v>9889.57</v>
      </c>
      <c r="R11" s="3"/>
      <c r="S11" s="1"/>
    </row>
    <row r="12" spans="1:20" x14ac:dyDescent="0.2">
      <c r="A12" s="9">
        <v>46006</v>
      </c>
      <c r="B12" s="1">
        <f t="shared" si="4"/>
        <v>63</v>
      </c>
      <c r="C12" s="1">
        <v>38</v>
      </c>
      <c r="D12" s="1">
        <v>25</v>
      </c>
      <c r="E12" s="3">
        <f t="shared" si="0"/>
        <v>0.60317460317460314</v>
      </c>
      <c r="F12" s="14">
        <v>1.781230769</v>
      </c>
      <c r="G12" s="3">
        <f t="shared" si="1"/>
        <v>0.56140956994663282</v>
      </c>
      <c r="H12" s="3">
        <f t="shared" si="2"/>
        <v>4.1765033227970316E-2</v>
      </c>
      <c r="I12" s="2">
        <v>3150</v>
      </c>
      <c r="J12" s="2">
        <v>215</v>
      </c>
      <c r="K12" s="3">
        <f t="shared" si="5"/>
        <v>6.8253968253968247E-2</v>
      </c>
      <c r="L12" s="3">
        <f t="shared" si="3"/>
        <v>2.1499999999999998E-2</v>
      </c>
      <c r="M12" s="23">
        <f t="shared" si="6"/>
        <v>10104.57</v>
      </c>
      <c r="R12" s="3"/>
      <c r="S12" s="1"/>
    </row>
    <row r="13" spans="1:20" x14ac:dyDescent="0.2">
      <c r="A13" s="9">
        <v>46007</v>
      </c>
      <c r="B13" s="1">
        <f t="shared" si="4"/>
        <v>13</v>
      </c>
      <c r="C13" s="1">
        <v>7</v>
      </c>
      <c r="D13" s="1">
        <v>6</v>
      </c>
      <c r="E13" s="3">
        <f t="shared" si="0"/>
        <v>0.53846153846153844</v>
      </c>
      <c r="F13" s="14">
        <v>1.8884615380000001</v>
      </c>
      <c r="G13" s="3">
        <f t="shared" si="1"/>
        <v>0.52953156835752302</v>
      </c>
      <c r="H13" s="3">
        <f t="shared" si="2"/>
        <v>8.9299701040154167E-3</v>
      </c>
      <c r="I13" s="2">
        <v>650</v>
      </c>
      <c r="J13" s="2">
        <v>21.5</v>
      </c>
      <c r="K13" s="3">
        <f t="shared" si="5"/>
        <v>3.307692307692308E-2</v>
      </c>
      <c r="L13" s="3">
        <f t="shared" si="3"/>
        <v>2.15E-3</v>
      </c>
      <c r="M13" s="23">
        <f t="shared" si="6"/>
        <v>10126.07</v>
      </c>
      <c r="R13" s="3"/>
      <c r="S13" s="1"/>
    </row>
    <row r="14" spans="1:20" x14ac:dyDescent="0.2">
      <c r="A14" s="9">
        <v>46008</v>
      </c>
      <c r="B14" s="1">
        <f t="shared" si="4"/>
        <v>8</v>
      </c>
      <c r="C14" s="1">
        <v>4</v>
      </c>
      <c r="D14" s="1">
        <v>4</v>
      </c>
      <c r="E14" s="3">
        <f t="shared" si="0"/>
        <v>0.5</v>
      </c>
      <c r="F14" s="14">
        <v>1.801111111</v>
      </c>
      <c r="G14" s="3">
        <f t="shared" si="1"/>
        <v>0.55521283161969237</v>
      </c>
      <c r="H14" s="3">
        <f t="shared" si="2"/>
        <v>-5.5212831619692371E-2</v>
      </c>
      <c r="I14" s="2">
        <v>400</v>
      </c>
      <c r="J14" s="2">
        <v>-50.5</v>
      </c>
      <c r="K14" s="3">
        <f t="shared" si="5"/>
        <v>-0.12625</v>
      </c>
      <c r="L14" s="3">
        <f t="shared" si="3"/>
        <v>-5.0499999999999998E-3</v>
      </c>
      <c r="M14" s="23">
        <f t="shared" si="6"/>
        <v>10075.57</v>
      </c>
      <c r="R14" s="3"/>
      <c r="S14" s="1"/>
    </row>
    <row r="15" spans="1:20" x14ac:dyDescent="0.2">
      <c r="A15" s="9">
        <v>46009</v>
      </c>
      <c r="B15" s="1">
        <f t="shared" si="4"/>
        <v>77</v>
      </c>
      <c r="C15" s="1">
        <v>40</v>
      </c>
      <c r="D15" s="1">
        <v>37</v>
      </c>
      <c r="E15" s="3">
        <f t="shared" si="0"/>
        <v>0.51948051948051943</v>
      </c>
      <c r="F15" s="14">
        <v>1.917142857</v>
      </c>
      <c r="G15" s="3">
        <f t="shared" si="1"/>
        <v>0.52160953804184873</v>
      </c>
      <c r="H15" s="3">
        <f t="shared" si="2"/>
        <v>-2.1290185613292989E-3</v>
      </c>
      <c r="I15" s="2">
        <v>3850</v>
      </c>
      <c r="J15" s="2">
        <v>-13.5</v>
      </c>
      <c r="K15" s="3">
        <f t="shared" si="5"/>
        <v>-3.5064935064935067E-3</v>
      </c>
      <c r="L15" s="3">
        <f t="shared" si="3"/>
        <v>-1.3500000000000001E-3</v>
      </c>
      <c r="M15" s="23">
        <f t="shared" si="6"/>
        <v>10062.07</v>
      </c>
    </row>
    <row r="16" spans="1:20" x14ac:dyDescent="0.2">
      <c r="A16" s="9">
        <v>46010</v>
      </c>
      <c r="B16" s="1">
        <f t="shared" si="4"/>
        <v>41</v>
      </c>
      <c r="C16" s="1">
        <v>23</v>
      </c>
      <c r="D16" s="1">
        <v>18</v>
      </c>
      <c r="E16" s="3">
        <f t="shared" si="0"/>
        <v>0.56097560975609762</v>
      </c>
      <c r="F16" s="14">
        <v>1.9059090910000001</v>
      </c>
      <c r="G16" s="3">
        <f t="shared" si="1"/>
        <v>0.52468399711306057</v>
      </c>
      <c r="H16" s="3">
        <f t="shared" si="2"/>
        <v>3.6291612643037041E-2</v>
      </c>
      <c r="I16" s="2">
        <v>2050</v>
      </c>
      <c r="J16" s="2">
        <v>128.5</v>
      </c>
      <c r="K16" s="3">
        <f t="shared" si="5"/>
        <v>6.2682926829268293E-2</v>
      </c>
      <c r="L16" s="3">
        <f t="shared" si="3"/>
        <v>1.285E-2</v>
      </c>
      <c r="M16" s="23">
        <f t="shared" si="6"/>
        <v>10190.57</v>
      </c>
    </row>
    <row r="17" spans="1:13" x14ac:dyDescent="0.2">
      <c r="A17" s="9">
        <v>46011</v>
      </c>
      <c r="B17" s="1">
        <f t="shared" si="4"/>
        <v>70</v>
      </c>
      <c r="C17" s="1">
        <v>44</v>
      </c>
      <c r="D17" s="1">
        <v>26</v>
      </c>
      <c r="E17" s="3">
        <f t="shared" si="0"/>
        <v>0.62857142857142856</v>
      </c>
      <c r="F17" s="14">
        <v>1.875405405</v>
      </c>
      <c r="G17" s="3">
        <f t="shared" si="1"/>
        <v>0.5332180430609349</v>
      </c>
      <c r="H17" s="3">
        <f t="shared" si="2"/>
        <v>9.535338551049366E-2</v>
      </c>
      <c r="I17" s="2">
        <v>3500</v>
      </c>
      <c r="J17" s="2">
        <v>592.5</v>
      </c>
      <c r="K17" s="3">
        <f t="shared" si="5"/>
        <v>0.16928571428571429</v>
      </c>
      <c r="L17" s="3">
        <f t="shared" si="3"/>
        <v>5.9249999999999997E-2</v>
      </c>
      <c r="M17" s="23">
        <f t="shared" si="6"/>
        <v>10783.07</v>
      </c>
    </row>
    <row r="18" spans="1:13" x14ac:dyDescent="0.2">
      <c r="A18" s="9">
        <v>46012</v>
      </c>
      <c r="B18" s="1">
        <f t="shared" si="4"/>
        <v>21</v>
      </c>
      <c r="C18" s="1">
        <v>13</v>
      </c>
      <c r="D18" s="1">
        <v>8</v>
      </c>
      <c r="E18" s="3">
        <f t="shared" si="0"/>
        <v>0.61904761904761907</v>
      </c>
      <c r="F18" s="14">
        <v>1.894782609</v>
      </c>
      <c r="G18" s="3">
        <f t="shared" si="1"/>
        <v>0.5277650297454255</v>
      </c>
      <c r="H18" s="3">
        <f t="shared" si="2"/>
        <v>9.1282589302193573E-2</v>
      </c>
      <c r="I18" s="2">
        <v>1050</v>
      </c>
      <c r="J18" s="2">
        <v>176</v>
      </c>
      <c r="K18" s="3">
        <f t="shared" si="5"/>
        <v>0.16761904761904761</v>
      </c>
      <c r="L18" s="3">
        <f t="shared" si="3"/>
        <v>1.7600000000000001E-2</v>
      </c>
      <c r="M18" s="23">
        <f t="shared" si="6"/>
        <v>10959.07</v>
      </c>
    </row>
    <row r="19" spans="1:13" x14ac:dyDescent="0.2">
      <c r="A19" s="9">
        <v>46013</v>
      </c>
      <c r="B19" s="1">
        <f t="shared" si="4"/>
        <v>48</v>
      </c>
      <c r="C19" s="1">
        <v>20</v>
      </c>
      <c r="D19" s="1">
        <v>28</v>
      </c>
      <c r="E19" s="3">
        <f t="shared" si="0"/>
        <v>0.41666666666666669</v>
      </c>
      <c r="F19" s="14">
        <v>1.9005882350000001</v>
      </c>
      <c r="G19" s="3">
        <f t="shared" si="1"/>
        <v>0.52615289392233866</v>
      </c>
      <c r="H19" s="3">
        <f t="shared" si="2"/>
        <v>-0.10948622725567198</v>
      </c>
      <c r="I19" s="2">
        <v>2400</v>
      </c>
      <c r="J19" s="2">
        <v>-531</v>
      </c>
      <c r="K19" s="3">
        <f t="shared" si="5"/>
        <v>-0.22125</v>
      </c>
      <c r="L19" s="3">
        <f t="shared" si="3"/>
        <v>-5.3100000000000001E-2</v>
      </c>
      <c r="M19" s="23">
        <f t="shared" si="6"/>
        <v>10428.07</v>
      </c>
    </row>
    <row r="20" spans="1:13" x14ac:dyDescent="0.2">
      <c r="A20" s="9">
        <v>46014</v>
      </c>
      <c r="F20" s="14"/>
      <c r="G20" s="3"/>
      <c r="H20" s="3"/>
      <c r="M20" s="24"/>
    </row>
    <row r="21" spans="1:13" x14ac:dyDescent="0.2">
      <c r="A21" s="9">
        <v>46015</v>
      </c>
      <c r="F21" s="14"/>
      <c r="G21" s="3"/>
      <c r="H21" s="3"/>
      <c r="M21" s="24"/>
    </row>
    <row r="22" spans="1:13" x14ac:dyDescent="0.2">
      <c r="A22" s="9">
        <v>46016</v>
      </c>
      <c r="F22" s="14"/>
      <c r="G22" s="3"/>
      <c r="H22" s="3"/>
      <c r="M22" s="24"/>
    </row>
    <row r="23" spans="1:13" x14ac:dyDescent="0.2">
      <c r="A23" s="9">
        <v>46017</v>
      </c>
      <c r="F23" s="14"/>
      <c r="G23" s="3"/>
      <c r="H23" s="3"/>
      <c r="M23" s="24"/>
    </row>
    <row r="24" spans="1:13" x14ac:dyDescent="0.2">
      <c r="A24" s="9">
        <v>46018</v>
      </c>
      <c r="F24" s="14"/>
      <c r="G24" s="3"/>
      <c r="H24" s="3"/>
      <c r="M24" s="24"/>
    </row>
    <row r="25" spans="1:13" x14ac:dyDescent="0.2">
      <c r="A25" s="9">
        <v>46019</v>
      </c>
      <c r="F25" s="14"/>
      <c r="G25" s="3"/>
      <c r="H25" s="3"/>
      <c r="M25" s="24"/>
    </row>
    <row r="26" spans="1:13" x14ac:dyDescent="0.2">
      <c r="A26" s="9">
        <v>46020</v>
      </c>
      <c r="F26" s="14"/>
      <c r="G26" s="3"/>
      <c r="H26" s="3"/>
      <c r="M26" s="24"/>
    </row>
    <row r="27" spans="1:13" x14ac:dyDescent="0.2">
      <c r="A27" s="9">
        <v>46021</v>
      </c>
      <c r="F27" s="14"/>
      <c r="G27" s="3"/>
      <c r="H27" s="3"/>
      <c r="M27" s="24"/>
    </row>
    <row r="28" spans="1:13" ht="17" thickBot="1" x14ac:dyDescent="0.25">
      <c r="A28" s="17">
        <v>46022</v>
      </c>
      <c r="B28" s="18"/>
      <c r="C28" s="18"/>
      <c r="D28" s="18"/>
      <c r="E28" s="19"/>
      <c r="F28" s="20"/>
      <c r="G28" s="19"/>
      <c r="H28" s="19"/>
      <c r="I28" s="21"/>
      <c r="J28" s="21"/>
      <c r="K28" s="19"/>
      <c r="L28" s="19"/>
      <c r="M28" s="25"/>
    </row>
    <row r="29" spans="1:13" ht="17" thickTop="1" x14ac:dyDescent="0.2">
      <c r="A29" s="9">
        <v>46023</v>
      </c>
    </row>
    <row r="30" spans="1:13" x14ac:dyDescent="0.2">
      <c r="A30" s="9">
        <v>46024</v>
      </c>
    </row>
    <row r="31" spans="1:13" x14ac:dyDescent="0.2">
      <c r="A31" s="9">
        <v>46025</v>
      </c>
    </row>
    <row r="32" spans="1:13" x14ac:dyDescent="0.2">
      <c r="A32" s="9">
        <v>46026</v>
      </c>
    </row>
    <row r="33" spans="1:1" x14ac:dyDescent="0.2">
      <c r="A33" s="9">
        <v>46027</v>
      </c>
    </row>
    <row r="34" spans="1:1" x14ac:dyDescent="0.2">
      <c r="A34" s="9">
        <v>46028</v>
      </c>
    </row>
    <row r="35" spans="1:1" x14ac:dyDescent="0.2">
      <c r="A35" s="9">
        <v>46029</v>
      </c>
    </row>
    <row r="36" spans="1:1" x14ac:dyDescent="0.2">
      <c r="A36" s="9">
        <v>46030</v>
      </c>
    </row>
    <row r="37" spans="1:1" x14ac:dyDescent="0.2">
      <c r="A37" s="9">
        <v>46031</v>
      </c>
    </row>
    <row r="38" spans="1:1" x14ac:dyDescent="0.2">
      <c r="A38" s="9">
        <v>46032</v>
      </c>
    </row>
    <row r="39" spans="1:1" x14ac:dyDescent="0.2">
      <c r="A39" s="9">
        <v>46033</v>
      </c>
    </row>
    <row r="40" spans="1:1" x14ac:dyDescent="0.2">
      <c r="A40" s="9">
        <v>46034</v>
      </c>
    </row>
    <row r="41" spans="1:1" x14ac:dyDescent="0.2">
      <c r="A41" s="9">
        <v>46035</v>
      </c>
    </row>
    <row r="42" spans="1:1" x14ac:dyDescent="0.2">
      <c r="A42" s="9">
        <v>46036</v>
      </c>
    </row>
    <row r="43" spans="1:1" x14ac:dyDescent="0.2">
      <c r="A43" s="9">
        <v>46037</v>
      </c>
    </row>
    <row r="44" spans="1:1" x14ac:dyDescent="0.2">
      <c r="A44" s="9">
        <v>46038</v>
      </c>
    </row>
    <row r="45" spans="1:1" x14ac:dyDescent="0.2">
      <c r="A45" s="9">
        <v>46039</v>
      </c>
    </row>
    <row r="46" spans="1:1" x14ac:dyDescent="0.2">
      <c r="A46" s="9">
        <v>46040</v>
      </c>
    </row>
    <row r="47" spans="1:1" x14ac:dyDescent="0.2">
      <c r="A47" s="9">
        <v>46041</v>
      </c>
    </row>
    <row r="48" spans="1:1" x14ac:dyDescent="0.2">
      <c r="A48" s="9">
        <v>46042</v>
      </c>
    </row>
    <row r="49" spans="1:1" x14ac:dyDescent="0.2">
      <c r="A49" s="9">
        <v>46043</v>
      </c>
    </row>
    <row r="50" spans="1:1" x14ac:dyDescent="0.2">
      <c r="A50" s="9">
        <v>46044</v>
      </c>
    </row>
    <row r="51" spans="1:1" x14ac:dyDescent="0.2">
      <c r="A51" s="9">
        <v>46045</v>
      </c>
    </row>
    <row r="52" spans="1:1" x14ac:dyDescent="0.2">
      <c r="A52" s="9">
        <v>46046</v>
      </c>
    </row>
    <row r="53" spans="1:1" x14ac:dyDescent="0.2">
      <c r="A53" s="9">
        <v>46047</v>
      </c>
    </row>
    <row r="54" spans="1:1" x14ac:dyDescent="0.2">
      <c r="A54" s="9">
        <v>46048</v>
      </c>
    </row>
    <row r="55" spans="1:1" x14ac:dyDescent="0.2">
      <c r="A55" s="9">
        <v>46049</v>
      </c>
    </row>
    <row r="56" spans="1:1" x14ac:dyDescent="0.2">
      <c r="A56" s="9">
        <v>46050</v>
      </c>
    </row>
    <row r="57" spans="1:1" x14ac:dyDescent="0.2">
      <c r="A57" s="9">
        <v>46051</v>
      </c>
    </row>
    <row r="58" spans="1:1" x14ac:dyDescent="0.2">
      <c r="A58" s="9">
        <v>46052</v>
      </c>
    </row>
    <row r="59" spans="1:1" x14ac:dyDescent="0.2">
      <c r="A59" s="9">
        <v>46053</v>
      </c>
    </row>
  </sheetData>
  <conditionalFormatting sqref="C2:C28">
    <cfRule type="expression" dxfId="7" priority="6">
      <formula>C2&gt;D2</formula>
    </cfRule>
  </conditionalFormatting>
  <conditionalFormatting sqref="D2:D28">
    <cfRule type="expression" dxfId="6" priority="5">
      <formula>D2&gt;C2</formula>
    </cfRule>
  </conditionalFormatting>
  <conditionalFormatting sqref="E2:E28">
    <cfRule type="expression" dxfId="5" priority="3">
      <formula>E2&gt;50%</formula>
    </cfRule>
    <cfRule type="expression" dxfId="4" priority="4">
      <formula>E2&lt;50%</formula>
    </cfRule>
  </conditionalFormatting>
  <conditionalFormatting sqref="H2:H28">
    <cfRule type="expression" dxfId="3" priority="1">
      <formula>H2&gt;0</formula>
    </cfRule>
    <cfRule type="expression" dxfId="2" priority="2">
      <formula>H2&lt;0</formula>
    </cfRule>
  </conditionalFormatting>
  <conditionalFormatting sqref="J2:J28">
    <cfRule type="expression" dxfId="1" priority="7">
      <formula>J2&gt;0</formula>
    </cfRule>
    <cfRule type="expression" dxfId="0" priority="8">
      <formula>J2&lt;0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24C8-140A-4F47-88B8-903578EF6262}">
  <dimension ref="A1:T28"/>
  <sheetViews>
    <sheetView workbookViewId="0">
      <selection activeCell="C20" sqref="C20"/>
    </sheetView>
  </sheetViews>
  <sheetFormatPr baseColWidth="10" defaultRowHeight="16" x14ac:dyDescent="0.2"/>
  <cols>
    <col min="1" max="4" width="10.83203125" style="1"/>
    <col min="5" max="5" width="10.83203125" style="3"/>
    <col min="6" max="6" width="11.5" style="13" bestFit="1" customWidth="1"/>
    <col min="7" max="7" width="12.6640625" style="13" bestFit="1" customWidth="1"/>
    <col min="8" max="8" width="12.6640625" style="13" customWidth="1"/>
    <col min="9" max="9" width="10.83203125" style="2"/>
    <col min="10" max="10" width="11.1640625" style="2" bestFit="1" customWidth="1"/>
    <col min="11" max="11" width="11.33203125" style="3" bestFit="1" customWidth="1"/>
    <col min="12" max="12" width="10.83203125" style="3"/>
    <col min="13" max="13" width="11.83203125" style="3" bestFit="1" customWidth="1"/>
    <col min="14" max="14" width="10.83203125" style="1"/>
    <col min="15" max="15" width="18.5" style="1" bestFit="1" customWidth="1"/>
    <col min="16" max="16" width="12.6640625" style="1" bestFit="1" customWidth="1"/>
    <col min="20" max="20" width="11.6640625" bestFit="1" customWidth="1"/>
  </cols>
  <sheetData>
    <row r="1" spans="1:20" x14ac:dyDescent="0.2">
      <c r="A1" s="4" t="s">
        <v>0</v>
      </c>
      <c r="B1" s="4" t="s">
        <v>11</v>
      </c>
      <c r="C1" s="4" t="s">
        <v>1</v>
      </c>
      <c r="D1" s="4" t="s">
        <v>2</v>
      </c>
      <c r="E1" s="8" t="s">
        <v>4</v>
      </c>
      <c r="F1" s="8" t="s">
        <v>13</v>
      </c>
      <c r="G1" s="8" t="s">
        <v>18</v>
      </c>
      <c r="H1" s="8" t="s">
        <v>17</v>
      </c>
      <c r="I1" s="5" t="s">
        <v>7</v>
      </c>
      <c r="J1" s="5" t="s">
        <v>3</v>
      </c>
      <c r="K1" s="8" t="s">
        <v>12</v>
      </c>
      <c r="L1" s="8" t="s">
        <v>10</v>
      </c>
      <c r="M1" s="8" t="s">
        <v>27</v>
      </c>
      <c r="O1" s="6" t="s">
        <v>5</v>
      </c>
      <c r="P1" s="7">
        <v>10000</v>
      </c>
    </row>
    <row r="2" spans="1:20" x14ac:dyDescent="0.2">
      <c r="A2" s="9">
        <v>45996</v>
      </c>
      <c r="B2" s="1">
        <f>C2+D2</f>
        <v>143</v>
      </c>
      <c r="C2" s="1">
        <v>83</v>
      </c>
      <c r="D2" s="1">
        <v>60</v>
      </c>
      <c r="E2" s="3">
        <f>C2/B2</f>
        <v>0.58041958041958042</v>
      </c>
      <c r="F2" s="14">
        <v>1.806375839</v>
      </c>
      <c r="G2" s="3">
        <f>1/F2</f>
        <v>0.55359464980089346</v>
      </c>
      <c r="H2" s="3">
        <f>E2-G2</f>
        <v>2.682493061868696E-2</v>
      </c>
      <c r="I2" s="2">
        <v>7137</v>
      </c>
      <c r="J2" s="2">
        <v>324.05</v>
      </c>
      <c r="K2" s="3">
        <f>J2/I2</f>
        <v>4.540423146980524E-2</v>
      </c>
      <c r="L2" s="3">
        <f>J2/$P$1</f>
        <v>3.2405000000000003E-2</v>
      </c>
      <c r="M2" s="12">
        <f>J2+P1</f>
        <v>10324.049999999999</v>
      </c>
      <c r="O2" s="6" t="s">
        <v>6</v>
      </c>
      <c r="P2" s="7">
        <v>50</v>
      </c>
      <c r="S2" s="2" t="s">
        <v>19</v>
      </c>
    </row>
    <row r="3" spans="1:20" x14ac:dyDescent="0.2">
      <c r="A3" s="9">
        <v>45997</v>
      </c>
      <c r="B3" s="1">
        <f>C3+D3</f>
        <v>86</v>
      </c>
      <c r="C3" s="1">
        <v>49</v>
      </c>
      <c r="D3" s="1">
        <v>37</v>
      </c>
      <c r="E3" s="3">
        <f t="shared" ref="E3:E19" si="0">C3/B3</f>
        <v>0.56976744186046513</v>
      </c>
      <c r="F3" s="14">
        <v>1.7979347830000001</v>
      </c>
      <c r="G3" s="3">
        <f t="shared" ref="G3:G19" si="1">1/F3</f>
        <v>0.5561937003807329</v>
      </c>
      <c r="H3" s="3">
        <f t="shared" ref="H3:H19" si="2">E3-G3</f>
        <v>1.3573741479732226E-2</v>
      </c>
      <c r="I3" s="2">
        <v>4296</v>
      </c>
      <c r="J3" s="2">
        <v>105.52</v>
      </c>
      <c r="K3" s="3">
        <f>J3/I3</f>
        <v>2.4562383612662941E-2</v>
      </c>
      <c r="L3" s="3">
        <f t="shared" ref="L3:L4" si="3">J3/$P$1</f>
        <v>1.0551999999999999E-2</v>
      </c>
      <c r="M3" s="12">
        <f>M2+J3</f>
        <v>10429.57</v>
      </c>
      <c r="O3" s="6" t="s">
        <v>8</v>
      </c>
      <c r="P3" s="7">
        <f>P1+SUM(J2:J26)</f>
        <v>10428.07</v>
      </c>
      <c r="R3" s="3"/>
      <c r="S3" s="1" t="s">
        <v>20</v>
      </c>
    </row>
    <row r="4" spans="1:20" x14ac:dyDescent="0.2">
      <c r="A4" s="9">
        <v>45998</v>
      </c>
      <c r="B4" s="1">
        <f t="shared" ref="B4:B6" si="4">C4+D4</f>
        <v>78</v>
      </c>
      <c r="C4" s="1">
        <v>47</v>
      </c>
      <c r="D4" s="1">
        <v>31</v>
      </c>
      <c r="E4" s="3">
        <f t="shared" si="0"/>
        <v>0.60256410256410253</v>
      </c>
      <c r="F4" s="14">
        <v>1.787619048</v>
      </c>
      <c r="G4" s="3">
        <f t="shared" si="1"/>
        <v>0.55940330302410157</v>
      </c>
      <c r="H4" s="3">
        <f t="shared" si="2"/>
        <v>4.316079954000096E-2</v>
      </c>
      <c r="I4" s="2">
        <v>3900</v>
      </c>
      <c r="J4" s="2">
        <v>298</v>
      </c>
      <c r="K4" s="3">
        <f t="shared" ref="K4" si="5">J4/I4</f>
        <v>7.6410256410256408E-2</v>
      </c>
      <c r="L4" s="3">
        <f t="shared" si="3"/>
        <v>2.98E-2</v>
      </c>
      <c r="M4" s="12">
        <f>M3+J4</f>
        <v>10727.57</v>
      </c>
      <c r="O4" s="6" t="s">
        <v>9</v>
      </c>
      <c r="P4" s="10">
        <f>SUM(J2:J28)/P1</f>
        <v>4.2806999999999991E-2</v>
      </c>
      <c r="R4" s="12"/>
      <c r="S4" s="16" t="s">
        <v>21</v>
      </c>
      <c r="T4" s="1" t="s">
        <v>22</v>
      </c>
    </row>
    <row r="5" spans="1:20" x14ac:dyDescent="0.2">
      <c r="A5" s="9">
        <v>45999</v>
      </c>
      <c r="B5" s="1">
        <f t="shared" si="4"/>
        <v>31</v>
      </c>
      <c r="C5" s="1">
        <v>16</v>
      </c>
      <c r="D5" s="1">
        <v>15</v>
      </c>
      <c r="E5" s="3">
        <f t="shared" si="0"/>
        <v>0.5161290322580645</v>
      </c>
      <c r="F5" s="14">
        <v>1.7854838710000001</v>
      </c>
      <c r="G5" s="3">
        <f t="shared" si="1"/>
        <v>0.56007226737922178</v>
      </c>
      <c r="H5" s="3">
        <f t="shared" si="2"/>
        <v>-4.3943235121157276E-2</v>
      </c>
      <c r="I5" s="2">
        <v>1550</v>
      </c>
      <c r="J5" s="2">
        <v>-114.5</v>
      </c>
      <c r="K5" s="3">
        <f t="shared" ref="K5" si="6">J5/I5</f>
        <v>-7.3870967741935481E-2</v>
      </c>
      <c r="L5" s="3">
        <f t="shared" ref="L5" si="7">J5/$P$1</f>
        <v>-1.145E-2</v>
      </c>
      <c r="M5" s="12">
        <f t="shared" ref="M5:M19" si="8">M4+J5</f>
        <v>10613.07</v>
      </c>
      <c r="O5" s="4" t="s">
        <v>14</v>
      </c>
      <c r="P5" s="11">
        <f>AVERAGE(J2:J28)</f>
        <v>23.781666666666663</v>
      </c>
      <c r="R5" s="3"/>
      <c r="S5" s="16" t="s">
        <v>23</v>
      </c>
      <c r="T5" s="1" t="s">
        <v>25</v>
      </c>
    </row>
    <row r="6" spans="1:20" x14ac:dyDescent="0.2">
      <c r="A6" s="9">
        <v>46000</v>
      </c>
      <c r="B6" s="1">
        <f t="shared" si="4"/>
        <v>29</v>
      </c>
      <c r="C6" s="1">
        <v>14</v>
      </c>
      <c r="D6" s="1">
        <v>15</v>
      </c>
      <c r="E6" s="3">
        <f t="shared" si="0"/>
        <v>0.48275862068965519</v>
      </c>
      <c r="F6" s="14">
        <v>1.848333333</v>
      </c>
      <c r="G6" s="3">
        <f t="shared" si="1"/>
        <v>0.54102795320848118</v>
      </c>
      <c r="H6" s="3">
        <f t="shared" si="2"/>
        <v>-5.8269332518825989E-2</v>
      </c>
      <c r="I6" s="2">
        <v>1450</v>
      </c>
      <c r="J6" s="2">
        <v>-160.5</v>
      </c>
      <c r="K6" s="3">
        <f t="shared" ref="K6" si="9">J6/I6</f>
        <v>-0.11068965517241379</v>
      </c>
      <c r="L6" s="3">
        <f t="shared" ref="L6" si="10">J6/$P$1</f>
        <v>-1.6049999999999998E-2</v>
      </c>
      <c r="M6" s="12">
        <f t="shared" si="8"/>
        <v>10452.57</v>
      </c>
      <c r="O6" s="4" t="s">
        <v>15</v>
      </c>
      <c r="P6" s="15">
        <f>_xlfn.STDEV.S(J2:J28)</f>
        <v>272.16835240343431</v>
      </c>
      <c r="R6" s="3"/>
      <c r="S6" s="1" t="s">
        <v>24</v>
      </c>
      <c r="T6" s="1" t="s">
        <v>26</v>
      </c>
    </row>
    <row r="7" spans="1:20" x14ac:dyDescent="0.2">
      <c r="A7" s="9">
        <v>46001</v>
      </c>
      <c r="B7" s="1">
        <f t="shared" ref="B7:B19" si="11">C7+D7</f>
        <v>17</v>
      </c>
      <c r="C7" s="1">
        <v>8</v>
      </c>
      <c r="D7" s="1">
        <v>9</v>
      </c>
      <c r="E7" s="3">
        <f t="shared" si="0"/>
        <v>0.47058823529411764</v>
      </c>
      <c r="F7" s="14">
        <v>1.8676470590000001</v>
      </c>
      <c r="G7" s="3">
        <f t="shared" si="1"/>
        <v>0.53543307081554958</v>
      </c>
      <c r="H7" s="3">
        <f t="shared" si="2"/>
        <v>-6.4844835521431943E-2</v>
      </c>
      <c r="I7" s="2">
        <v>850</v>
      </c>
      <c r="J7" s="2">
        <v>-113.5</v>
      </c>
      <c r="K7" s="3">
        <f t="shared" ref="K7:K19" si="12">J7/I7</f>
        <v>-0.13352941176470587</v>
      </c>
      <c r="L7" s="3">
        <f t="shared" ref="L7:L19" si="13">J7/$P$1</f>
        <v>-1.1350000000000001E-2</v>
      </c>
      <c r="M7" s="12">
        <f t="shared" si="8"/>
        <v>10339.07</v>
      </c>
      <c r="O7" s="4" t="s">
        <v>16</v>
      </c>
      <c r="P7" s="15">
        <f>(J19- P5) / P6</f>
        <v>-2.0383768420081241</v>
      </c>
      <c r="R7" s="3"/>
      <c r="S7" s="1"/>
    </row>
    <row r="8" spans="1:20" x14ac:dyDescent="0.2">
      <c r="A8" s="9">
        <v>46002</v>
      </c>
      <c r="B8" s="1">
        <f t="shared" si="11"/>
        <v>54</v>
      </c>
      <c r="C8" s="1">
        <v>26</v>
      </c>
      <c r="D8" s="1">
        <v>28</v>
      </c>
      <c r="E8" s="3">
        <f t="shared" si="0"/>
        <v>0.48148148148148145</v>
      </c>
      <c r="F8" s="14">
        <v>1.8254545449999999</v>
      </c>
      <c r="G8" s="3">
        <f t="shared" si="1"/>
        <v>0.54780876507664567</v>
      </c>
      <c r="H8" s="3">
        <f t="shared" si="2"/>
        <v>-6.632728359516421E-2</v>
      </c>
      <c r="I8" s="2">
        <v>2700</v>
      </c>
      <c r="J8" s="2">
        <v>-300.5</v>
      </c>
      <c r="K8" s="3">
        <f t="shared" si="12"/>
        <v>-0.1112962962962963</v>
      </c>
      <c r="L8" s="3">
        <f t="shared" si="13"/>
        <v>-3.005E-2</v>
      </c>
      <c r="M8" s="12">
        <f t="shared" si="8"/>
        <v>10038.57</v>
      </c>
      <c r="O8" s="4" t="s">
        <v>28</v>
      </c>
      <c r="P8" s="11">
        <f>SUM(J2:J28)</f>
        <v>428.06999999999994</v>
      </c>
      <c r="R8" s="3"/>
      <c r="S8" s="1"/>
    </row>
    <row r="9" spans="1:20" x14ac:dyDescent="0.2">
      <c r="A9" s="9">
        <v>46003</v>
      </c>
      <c r="B9" s="1">
        <f t="shared" si="11"/>
        <v>62</v>
      </c>
      <c r="C9" s="1">
        <v>38</v>
      </c>
      <c r="D9" s="1">
        <v>24</v>
      </c>
      <c r="E9" s="3">
        <f t="shared" si="0"/>
        <v>0.61290322580645162</v>
      </c>
      <c r="F9" s="14">
        <v>1.7818750000000001</v>
      </c>
      <c r="G9" s="3">
        <f t="shared" si="1"/>
        <v>0.56120659417748153</v>
      </c>
      <c r="H9" s="3">
        <f t="shared" si="2"/>
        <v>5.1696631628970091E-2</v>
      </c>
      <c r="I9" s="2">
        <v>3100</v>
      </c>
      <c r="J9" s="2">
        <v>261.5</v>
      </c>
      <c r="K9" s="3">
        <f t="shared" si="12"/>
        <v>8.4354838709677415E-2</v>
      </c>
      <c r="L9" s="3">
        <f t="shared" si="13"/>
        <v>2.615E-2</v>
      </c>
      <c r="M9" s="12">
        <f t="shared" si="8"/>
        <v>10300.07</v>
      </c>
      <c r="R9" s="3"/>
      <c r="S9" s="1"/>
    </row>
    <row r="10" spans="1:20" x14ac:dyDescent="0.2">
      <c r="A10" s="9">
        <v>46004</v>
      </c>
      <c r="B10" s="1">
        <f t="shared" si="11"/>
        <v>29</v>
      </c>
      <c r="C10" s="1">
        <v>15</v>
      </c>
      <c r="D10" s="1">
        <v>14</v>
      </c>
      <c r="E10" s="3">
        <f t="shared" si="0"/>
        <v>0.51724137931034486</v>
      </c>
      <c r="F10" s="14">
        <v>1.8444827589999999</v>
      </c>
      <c r="G10" s="3">
        <f t="shared" si="1"/>
        <v>0.54215741248899363</v>
      </c>
      <c r="H10" s="3">
        <f t="shared" si="2"/>
        <v>-2.4916033178648767E-2</v>
      </c>
      <c r="I10" s="2">
        <v>1450</v>
      </c>
      <c r="J10" s="2">
        <v>-64</v>
      </c>
      <c r="K10" s="3">
        <f t="shared" si="12"/>
        <v>-4.4137931034482755E-2</v>
      </c>
      <c r="L10" s="3">
        <f t="shared" si="13"/>
        <v>-6.4000000000000003E-3</v>
      </c>
      <c r="M10" s="12">
        <f t="shared" si="8"/>
        <v>10236.07</v>
      </c>
      <c r="R10" s="3"/>
      <c r="S10" s="1"/>
    </row>
    <row r="11" spans="1:20" x14ac:dyDescent="0.2">
      <c r="A11" s="9">
        <v>46005</v>
      </c>
      <c r="B11" s="1">
        <f t="shared" si="11"/>
        <v>53</v>
      </c>
      <c r="C11" s="1">
        <v>26</v>
      </c>
      <c r="D11" s="1">
        <v>27</v>
      </c>
      <c r="E11" s="3">
        <f t="shared" si="0"/>
        <v>0.49056603773584906</v>
      </c>
      <c r="F11" s="14">
        <v>1.783888889</v>
      </c>
      <c r="G11" s="3">
        <f t="shared" si="1"/>
        <v>0.56057303017374194</v>
      </c>
      <c r="H11" s="3">
        <f t="shared" si="2"/>
        <v>-7.0006992437892879E-2</v>
      </c>
      <c r="I11" s="2">
        <v>2650</v>
      </c>
      <c r="J11" s="2">
        <v>-346.5</v>
      </c>
      <c r="K11" s="3">
        <f t="shared" si="12"/>
        <v>-0.13075471698113209</v>
      </c>
      <c r="L11" s="3">
        <f t="shared" si="13"/>
        <v>-3.465E-2</v>
      </c>
      <c r="M11" s="12">
        <f t="shared" si="8"/>
        <v>9889.57</v>
      </c>
      <c r="R11" s="3"/>
      <c r="S11" s="1"/>
    </row>
    <row r="12" spans="1:20" x14ac:dyDescent="0.2">
      <c r="A12" s="9">
        <v>46006</v>
      </c>
      <c r="B12" s="1">
        <f t="shared" si="11"/>
        <v>63</v>
      </c>
      <c r="C12" s="1">
        <v>38</v>
      </c>
      <c r="D12" s="1">
        <v>25</v>
      </c>
      <c r="E12" s="3">
        <f t="shared" si="0"/>
        <v>0.60317460317460314</v>
      </c>
      <c r="F12" s="14">
        <v>1.781230769</v>
      </c>
      <c r="G12" s="3">
        <f t="shared" si="1"/>
        <v>0.56140956994663282</v>
      </c>
      <c r="H12" s="3">
        <f t="shared" si="2"/>
        <v>4.1765033227970316E-2</v>
      </c>
      <c r="I12" s="2">
        <v>3150</v>
      </c>
      <c r="J12" s="2">
        <v>215</v>
      </c>
      <c r="K12" s="3">
        <f t="shared" si="12"/>
        <v>6.8253968253968247E-2</v>
      </c>
      <c r="L12" s="3">
        <f t="shared" si="13"/>
        <v>2.1499999999999998E-2</v>
      </c>
      <c r="M12" s="12">
        <f t="shared" si="8"/>
        <v>10104.57</v>
      </c>
      <c r="R12" s="3"/>
      <c r="S12" s="1"/>
    </row>
    <row r="13" spans="1:20" x14ac:dyDescent="0.2">
      <c r="A13" s="9">
        <v>46007</v>
      </c>
      <c r="B13" s="1">
        <f t="shared" si="11"/>
        <v>13</v>
      </c>
      <c r="C13" s="1">
        <v>7</v>
      </c>
      <c r="D13" s="1">
        <v>6</v>
      </c>
      <c r="E13" s="3">
        <f t="shared" si="0"/>
        <v>0.53846153846153844</v>
      </c>
      <c r="F13" s="14">
        <v>1.8884615380000001</v>
      </c>
      <c r="G13" s="3">
        <f t="shared" si="1"/>
        <v>0.52953156835752302</v>
      </c>
      <c r="H13" s="3">
        <f t="shared" si="2"/>
        <v>8.9299701040154167E-3</v>
      </c>
      <c r="I13" s="2">
        <v>650</v>
      </c>
      <c r="J13" s="2">
        <v>21.5</v>
      </c>
      <c r="K13" s="3">
        <f t="shared" si="12"/>
        <v>3.307692307692308E-2</v>
      </c>
      <c r="L13" s="3">
        <f t="shared" si="13"/>
        <v>2.15E-3</v>
      </c>
      <c r="M13" s="12">
        <f t="shared" si="8"/>
        <v>10126.07</v>
      </c>
      <c r="R13" s="3"/>
      <c r="S13" s="1"/>
    </row>
    <row r="14" spans="1:20" x14ac:dyDescent="0.2">
      <c r="A14" s="9">
        <v>46008</v>
      </c>
      <c r="B14" s="1">
        <f t="shared" si="11"/>
        <v>8</v>
      </c>
      <c r="C14" s="1">
        <v>4</v>
      </c>
      <c r="D14" s="1">
        <v>4</v>
      </c>
      <c r="E14" s="3">
        <f t="shared" si="0"/>
        <v>0.5</v>
      </c>
      <c r="F14" s="14">
        <v>1.801111111</v>
      </c>
      <c r="G14" s="3">
        <f t="shared" si="1"/>
        <v>0.55521283161969237</v>
      </c>
      <c r="H14" s="3">
        <f t="shared" si="2"/>
        <v>-5.5212831619692371E-2</v>
      </c>
      <c r="I14" s="2">
        <v>400</v>
      </c>
      <c r="J14" s="2">
        <v>-50.5</v>
      </c>
      <c r="K14" s="3">
        <f t="shared" si="12"/>
        <v>-0.12625</v>
      </c>
      <c r="L14" s="3">
        <f t="shared" si="13"/>
        <v>-5.0499999999999998E-3</v>
      </c>
      <c r="M14" s="12">
        <f t="shared" si="8"/>
        <v>10075.57</v>
      </c>
      <c r="R14" s="3"/>
      <c r="S14" s="1"/>
    </row>
    <row r="15" spans="1:20" x14ac:dyDescent="0.2">
      <c r="A15" s="9">
        <v>46009</v>
      </c>
      <c r="B15" s="1">
        <f t="shared" si="11"/>
        <v>77</v>
      </c>
      <c r="C15" s="1">
        <v>40</v>
      </c>
      <c r="D15" s="1">
        <v>37</v>
      </c>
      <c r="E15" s="3">
        <f t="shared" si="0"/>
        <v>0.51948051948051943</v>
      </c>
      <c r="F15" s="14">
        <v>1.917142857</v>
      </c>
      <c r="G15" s="3">
        <f t="shared" si="1"/>
        <v>0.52160953804184873</v>
      </c>
      <c r="H15" s="3">
        <f t="shared" si="2"/>
        <v>-2.1290185613292989E-3</v>
      </c>
      <c r="I15" s="2">
        <v>3850</v>
      </c>
      <c r="J15" s="2">
        <v>-13.5</v>
      </c>
      <c r="K15" s="3">
        <f t="shared" si="12"/>
        <v>-3.5064935064935067E-3</v>
      </c>
      <c r="L15" s="3">
        <f t="shared" si="13"/>
        <v>-1.3500000000000001E-3</v>
      </c>
      <c r="M15" s="12">
        <f t="shared" si="8"/>
        <v>10062.07</v>
      </c>
    </row>
    <row r="16" spans="1:20" x14ac:dyDescent="0.2">
      <c r="A16" s="9">
        <v>46010</v>
      </c>
      <c r="B16" s="1">
        <f t="shared" si="11"/>
        <v>41</v>
      </c>
      <c r="C16" s="1">
        <v>23</v>
      </c>
      <c r="D16" s="1">
        <v>18</v>
      </c>
      <c r="E16" s="3">
        <f t="shared" si="0"/>
        <v>0.56097560975609762</v>
      </c>
      <c r="F16" s="14">
        <v>1.9059090910000001</v>
      </c>
      <c r="G16" s="3">
        <f t="shared" si="1"/>
        <v>0.52468399711306057</v>
      </c>
      <c r="H16" s="3">
        <f t="shared" si="2"/>
        <v>3.6291612643037041E-2</v>
      </c>
      <c r="I16" s="2">
        <v>2050</v>
      </c>
      <c r="J16" s="2">
        <v>128.5</v>
      </c>
      <c r="K16" s="3">
        <f t="shared" si="12"/>
        <v>6.2682926829268293E-2</v>
      </c>
      <c r="L16" s="3">
        <f t="shared" si="13"/>
        <v>1.285E-2</v>
      </c>
      <c r="M16" s="12">
        <f t="shared" si="8"/>
        <v>10190.57</v>
      </c>
    </row>
    <row r="17" spans="1:13" x14ac:dyDescent="0.2">
      <c r="A17" s="9">
        <v>46011</v>
      </c>
      <c r="B17" s="1">
        <f t="shared" si="11"/>
        <v>70</v>
      </c>
      <c r="C17" s="1">
        <v>44</v>
      </c>
      <c r="D17" s="1">
        <v>26</v>
      </c>
      <c r="E17" s="3">
        <f t="shared" si="0"/>
        <v>0.62857142857142856</v>
      </c>
      <c r="F17" s="14">
        <v>1.875405405</v>
      </c>
      <c r="G17" s="3">
        <f t="shared" si="1"/>
        <v>0.5332180430609349</v>
      </c>
      <c r="H17" s="3">
        <f t="shared" si="2"/>
        <v>9.535338551049366E-2</v>
      </c>
      <c r="I17" s="2">
        <v>3500</v>
      </c>
      <c r="J17" s="2">
        <v>592.5</v>
      </c>
      <c r="K17" s="3">
        <f t="shared" si="12"/>
        <v>0.16928571428571429</v>
      </c>
      <c r="L17" s="3">
        <f t="shared" si="13"/>
        <v>5.9249999999999997E-2</v>
      </c>
      <c r="M17" s="12">
        <f t="shared" si="8"/>
        <v>10783.07</v>
      </c>
    </row>
    <row r="18" spans="1:13" x14ac:dyDescent="0.2">
      <c r="A18" s="9">
        <v>46012</v>
      </c>
      <c r="B18" s="1">
        <f t="shared" si="11"/>
        <v>21</v>
      </c>
      <c r="C18" s="1">
        <v>13</v>
      </c>
      <c r="D18" s="1">
        <v>8</v>
      </c>
      <c r="E18" s="3">
        <f t="shared" si="0"/>
        <v>0.61904761904761907</v>
      </c>
      <c r="F18" s="14">
        <v>1.894782609</v>
      </c>
      <c r="G18" s="3">
        <f t="shared" si="1"/>
        <v>0.5277650297454255</v>
      </c>
      <c r="H18" s="3">
        <f t="shared" si="2"/>
        <v>9.1282589302193573E-2</v>
      </c>
      <c r="I18" s="2">
        <v>1050</v>
      </c>
      <c r="J18" s="2">
        <v>176</v>
      </c>
      <c r="K18" s="3">
        <f t="shared" si="12"/>
        <v>0.16761904761904761</v>
      </c>
      <c r="L18" s="3">
        <f t="shared" si="13"/>
        <v>1.7600000000000001E-2</v>
      </c>
      <c r="M18" s="12">
        <f t="shared" si="8"/>
        <v>10959.07</v>
      </c>
    </row>
    <row r="19" spans="1:13" x14ac:dyDescent="0.2">
      <c r="A19" s="9">
        <v>46013</v>
      </c>
      <c r="B19" s="1">
        <f t="shared" si="11"/>
        <v>48</v>
      </c>
      <c r="C19" s="1">
        <v>20</v>
      </c>
      <c r="D19" s="1">
        <v>28</v>
      </c>
      <c r="E19" s="3">
        <f t="shared" si="0"/>
        <v>0.41666666666666669</v>
      </c>
      <c r="F19" s="14">
        <v>1.9005882350000001</v>
      </c>
      <c r="G19" s="3">
        <f t="shared" si="1"/>
        <v>0.52615289392233866</v>
      </c>
      <c r="H19" s="3">
        <f t="shared" si="2"/>
        <v>-0.10948622725567198</v>
      </c>
      <c r="I19" s="2">
        <v>2400</v>
      </c>
      <c r="J19" s="2">
        <v>-531</v>
      </c>
      <c r="K19" s="3">
        <f t="shared" si="12"/>
        <v>-0.22125</v>
      </c>
      <c r="L19" s="3">
        <f t="shared" si="13"/>
        <v>-5.3100000000000001E-2</v>
      </c>
      <c r="M19" s="12">
        <f t="shared" si="8"/>
        <v>10428.07</v>
      </c>
    </row>
    <row r="20" spans="1:13" x14ac:dyDescent="0.2">
      <c r="A20" s="9">
        <v>46014</v>
      </c>
      <c r="F20" s="14"/>
      <c r="G20" s="3"/>
      <c r="H20" s="3"/>
    </row>
    <row r="21" spans="1:13" x14ac:dyDescent="0.2">
      <c r="A21" s="9">
        <v>46015</v>
      </c>
      <c r="F21" s="14"/>
      <c r="G21" s="3"/>
      <c r="H21" s="3"/>
    </row>
    <row r="22" spans="1:13" x14ac:dyDescent="0.2">
      <c r="A22" s="9">
        <v>46016</v>
      </c>
      <c r="F22" s="14"/>
      <c r="G22" s="3"/>
      <c r="H22" s="3"/>
    </row>
    <row r="23" spans="1:13" x14ac:dyDescent="0.2">
      <c r="A23" s="9">
        <v>46017</v>
      </c>
      <c r="F23" s="14"/>
      <c r="G23" s="3"/>
      <c r="H23" s="3"/>
    </row>
    <row r="24" spans="1:13" x14ac:dyDescent="0.2">
      <c r="A24" s="9">
        <v>46018</v>
      </c>
      <c r="F24" s="14"/>
      <c r="G24" s="3"/>
      <c r="H24" s="3"/>
    </row>
    <row r="25" spans="1:13" x14ac:dyDescent="0.2">
      <c r="A25" s="9">
        <v>46019</v>
      </c>
      <c r="F25" s="14"/>
      <c r="G25" s="3"/>
      <c r="H25" s="3"/>
    </row>
    <row r="26" spans="1:13" x14ac:dyDescent="0.2">
      <c r="A26" s="9">
        <v>46020</v>
      </c>
      <c r="F26" s="14"/>
      <c r="G26" s="3"/>
      <c r="H26" s="3"/>
    </row>
    <row r="27" spans="1:13" x14ac:dyDescent="0.2">
      <c r="A27" s="9">
        <v>46021</v>
      </c>
      <c r="F27" s="14"/>
      <c r="G27" s="3"/>
      <c r="H27" s="3"/>
    </row>
    <row r="28" spans="1:13" x14ac:dyDescent="0.2">
      <c r="A28" s="9">
        <v>46022</v>
      </c>
      <c r="F28" s="14"/>
      <c r="G28" s="3"/>
      <c r="H28" s="3"/>
    </row>
  </sheetData>
  <conditionalFormatting sqref="C2:C28">
    <cfRule type="expression" dxfId="15" priority="6">
      <formula>C2&gt;D2</formula>
    </cfRule>
  </conditionalFormatting>
  <conditionalFormatting sqref="D2:D28">
    <cfRule type="expression" dxfId="14" priority="5">
      <formula>D2&gt;C2</formula>
    </cfRule>
  </conditionalFormatting>
  <conditionalFormatting sqref="E2:E28">
    <cfRule type="expression" dxfId="13" priority="3">
      <formula>E2&gt;50%</formula>
    </cfRule>
    <cfRule type="expression" dxfId="12" priority="4">
      <formula>E2&lt;50%</formula>
    </cfRule>
  </conditionalFormatting>
  <conditionalFormatting sqref="H2:H28">
    <cfRule type="expression" dxfId="11" priority="1">
      <formula>H2&gt;0</formula>
    </cfRule>
    <cfRule type="expression" dxfId="10" priority="2">
      <formula>H2&lt;0</formula>
    </cfRule>
  </conditionalFormatting>
  <conditionalFormatting sqref="J2:J28">
    <cfRule type="expression" dxfId="9" priority="7">
      <formula>J2&gt;0</formula>
    </cfRule>
    <cfRule type="expression" dxfId="8" priority="8">
      <formula>J2&lt;0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Stagione 25-26</vt:lpstr>
      <vt:lpstr>Dicembre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Priarone - davide.priarone@studio.unibo.it</dc:creator>
  <cp:lastModifiedBy>Davide Priarone - davide.priarone@studio.unibo.it</cp:lastModifiedBy>
  <dcterms:created xsi:type="dcterms:W3CDTF">2025-12-07T14:52:25Z</dcterms:created>
  <dcterms:modified xsi:type="dcterms:W3CDTF">2025-12-23T17:58:59Z</dcterms:modified>
</cp:coreProperties>
</file>