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"/>
    </mc:Choice>
  </mc:AlternateContent>
  <xr:revisionPtr revIDLastSave="0" documentId="13_ncr:1_{0DB6AA5F-D4FA-1B45-A477-EAD1C051F52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Sheet1!$A$1:$S$26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P25" i="1"/>
  <c r="R11" i="1"/>
  <c r="R13" i="1"/>
  <c r="Q3" i="1"/>
  <c r="R3" i="1" s="1"/>
  <c r="R4" i="1"/>
  <c r="Q5" i="1"/>
  <c r="R5" i="1" s="1"/>
  <c r="Q6" i="1"/>
  <c r="R6" i="1" s="1"/>
  <c r="Q7" i="1"/>
  <c r="R8" i="1"/>
  <c r="Q9" i="1"/>
  <c r="R9" i="1" s="1"/>
  <c r="Q10" i="1"/>
  <c r="R10" i="1" s="1"/>
  <c r="Q12" i="1"/>
  <c r="R12" i="1" s="1"/>
  <c r="Q14" i="1"/>
  <c r="R14" i="1" s="1"/>
  <c r="Q15" i="1"/>
  <c r="R15" i="1" s="1"/>
  <c r="Q16" i="1"/>
  <c r="R16" i="1" s="1"/>
  <c r="R17" i="1"/>
  <c r="R18" i="1"/>
  <c r="Q19" i="1"/>
  <c r="R19" i="1" s="1"/>
  <c r="R20" i="1"/>
  <c r="Q21" i="1"/>
  <c r="R21" i="1" s="1"/>
  <c r="Q22" i="1"/>
  <c r="R22" i="1" s="1"/>
  <c r="R23" i="1"/>
  <c r="Q24" i="1"/>
  <c r="R24" i="1" s="1"/>
  <c r="Q2" i="1"/>
  <c r="Q25" i="1" l="1"/>
  <c r="Q26" i="1" s="1"/>
  <c r="S3" i="1"/>
  <c r="S2" i="1"/>
</calcChain>
</file>

<file path=xl/sharedStrings.xml><?xml version="1.0" encoding="utf-8"?>
<sst xmlns="http://schemas.openxmlformats.org/spreadsheetml/2006/main" count="154" uniqueCount="54">
  <si>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</si>
  <si>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</si>
  <si>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</si>
  <si>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</si>
  <si>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</si>
  <si>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</si>
  <si>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</si>
  <si>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</si>
  <si>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</si>
  <si>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</si>
  <si>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</si>
  <si>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</si>
  <si>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</si>
  <si>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</si>
  <si>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</si>
  <si>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</si>
  <si>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8719cad3aae5d2048ba5cfe820fbf698</t>
  </si>
  <si>
    <t>3e52c319a576ac5e8f500c83994ab307</t>
  </si>
  <si>
    <t>1f2a0a04a8757ee59990da7c3f455231</t>
  </si>
  <si>
    <t>aef0c26b3670edaf7fb230056fb4adc7</t>
  </si>
  <si>
    <t>Steven Adams</t>
  </si>
  <si>
    <t>Mikal Bridges</t>
  </si>
  <si>
    <t>Naz Reid</t>
  </si>
  <si>
    <t>Jalen Brunson</t>
  </si>
  <si>
    <t>Reed Sheppard</t>
  </si>
  <si>
    <t>Precious Achiuwa</t>
  </si>
  <si>
    <t>Kel'el Ware</t>
  </si>
  <si>
    <t>Rudy Gobert</t>
  </si>
  <si>
    <t>Dennis Schroder</t>
  </si>
  <si>
    <t>Jabari Smith Jr</t>
  </si>
  <si>
    <t>Davion Mitchell</t>
  </si>
  <si>
    <t>Donte DiVincenzo</t>
  </si>
  <si>
    <t>OG Anunoby</t>
  </si>
  <si>
    <t>Julius Randle</t>
  </si>
  <si>
    <t>C.J. McCollum</t>
  </si>
  <si>
    <t>Ryan Rollins</t>
  </si>
  <si>
    <t>Tyler Kolek</t>
  </si>
  <si>
    <t>Russell Westbrook</t>
  </si>
  <si>
    <t>rebounds</t>
  </si>
  <si>
    <t>points</t>
  </si>
  <si>
    <t>assists</t>
  </si>
  <si>
    <t>BetMGM</t>
  </si>
  <si>
    <t>Bovada</t>
  </si>
  <si>
    <t>BetRivers</t>
  </si>
  <si>
    <t>Pinnacle</t>
  </si>
  <si>
    <t>BetOnline.ag</t>
  </si>
  <si>
    <t>DraftKings</t>
  </si>
  <si>
    <t>FanDuel</t>
  </si>
  <si>
    <t>Houston Rockets @ Sacramento Kings</t>
  </si>
  <si>
    <t>Miami Heat @ New York Knicks</t>
  </si>
  <si>
    <t>Milwaukee Bucks @ Minnesota Timberwolves</t>
  </si>
  <si>
    <t>San Antonio Spurs @ Washington Wizards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</si>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</sst>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P25" sqref="P25"/>
    </sheetView>
  </sheetViews>
  <sheetFormatPr baseColWidth="10" defaultColWidth="8.83203125" defaultRowHeight="15" x14ac:dyDescent="0.2"/>
  <cols>
    <col min="2" max="2" width="15" bestFit="1" customWidth="1"/>
    <col min="7" max="7" width="35.8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20</v>
      </c>
      <c r="C2" t="s">
        <v>38</v>
      </c>
      <c r="D2">
        <v>5.5</v>
      </c>
      <c r="E2">
        <v>2</v>
      </c>
      <c r="F2" t="s">
        <v>41</v>
      </c>
      <c r="G2" t="s">
        <v>48</v>
      </c>
      <c r="H2" t="s">
        <v>52</v>
      </c>
      <c r="I2">
        <v>8.6999999999999993</v>
      </c>
      <c r="J2">
        <v>99.9</v>
      </c>
      <c r="K2">
        <v>49.9</v>
      </c>
      <c r="L2">
        <v>0.998</v>
      </c>
      <c r="M2">
        <v>0.91</v>
      </c>
      <c r="N2">
        <v>58.5</v>
      </c>
      <c r="O2">
        <v>12</v>
      </c>
      <c r="P2">
        <v>0</v>
      </c>
      <c r="Q2">
        <f>P2*E2-P2</f>
        <v>0</v>
      </c>
      <c r="S2">
        <f>COUNTIF(R2:R24,"WIN")</f>
        <v>13</v>
      </c>
    </row>
    <row r="3" spans="1:19" x14ac:dyDescent="0.2">
      <c r="A3" t="s">
        <v>17</v>
      </c>
      <c r="B3" t="s">
        <v>21</v>
      </c>
      <c r="C3" t="s">
        <v>39</v>
      </c>
      <c r="D3">
        <v>16.5</v>
      </c>
      <c r="E3">
        <v>2.0499999999999998</v>
      </c>
      <c r="F3" t="s">
        <v>42</v>
      </c>
      <c r="G3" t="s">
        <v>49</v>
      </c>
      <c r="H3" t="s">
        <v>52</v>
      </c>
      <c r="I3">
        <v>19.8</v>
      </c>
      <c r="J3">
        <v>93.6</v>
      </c>
      <c r="K3">
        <v>44.8</v>
      </c>
      <c r="L3">
        <v>0.91800000000000004</v>
      </c>
      <c r="M3">
        <v>0.85</v>
      </c>
      <c r="N3">
        <v>20.2</v>
      </c>
      <c r="O3">
        <v>7.5</v>
      </c>
      <c r="P3">
        <v>50</v>
      </c>
      <c r="Q3">
        <f t="shared" ref="Q3:Q24" si="0">P3*E3-P3</f>
        <v>52.499999999999986</v>
      </c>
      <c r="R3" t="str">
        <f t="shared" ref="R3:R24" si="1">IF(Q3=-50,"LOSE","WIN")</f>
        <v>WIN</v>
      </c>
      <c r="S3">
        <f>COUNTIF(R2:R24,"LOSE")</f>
        <v>8</v>
      </c>
    </row>
    <row r="4" spans="1:19" x14ac:dyDescent="0.2">
      <c r="A4" t="s">
        <v>18</v>
      </c>
      <c r="B4" t="s">
        <v>22</v>
      </c>
      <c r="C4" t="s">
        <v>39</v>
      </c>
      <c r="D4">
        <v>14.5</v>
      </c>
      <c r="E4">
        <v>2.06</v>
      </c>
      <c r="F4" t="s">
        <v>43</v>
      </c>
      <c r="G4" t="s">
        <v>50</v>
      </c>
      <c r="H4" t="s">
        <v>52</v>
      </c>
      <c r="I4">
        <v>17.399999999999999</v>
      </c>
      <c r="J4">
        <v>89.3</v>
      </c>
      <c r="K4">
        <v>40.799999999999997</v>
      </c>
      <c r="L4">
        <v>0.84</v>
      </c>
      <c r="M4">
        <v>0.83</v>
      </c>
      <c r="N4">
        <v>19.899999999999999</v>
      </c>
      <c r="O4">
        <v>12</v>
      </c>
      <c r="P4">
        <v>50</v>
      </c>
      <c r="Q4">
        <v>-50</v>
      </c>
      <c r="R4" t="str">
        <f t="shared" si="1"/>
        <v>LOSE</v>
      </c>
    </row>
    <row r="5" spans="1:19" x14ac:dyDescent="0.2">
      <c r="A5" t="s">
        <v>17</v>
      </c>
      <c r="B5" t="s">
        <v>23</v>
      </c>
      <c r="C5" t="s">
        <v>39</v>
      </c>
      <c r="D5">
        <v>28.5</v>
      </c>
      <c r="E5">
        <v>2.0499999999999998</v>
      </c>
      <c r="F5" t="s">
        <v>43</v>
      </c>
      <c r="G5" t="s">
        <v>49</v>
      </c>
      <c r="H5" t="s">
        <v>52</v>
      </c>
      <c r="I5">
        <v>32.200000000000003</v>
      </c>
      <c r="J5">
        <v>89.7</v>
      </c>
      <c r="K5">
        <v>40.9</v>
      </c>
      <c r="L5">
        <v>0.83899999999999997</v>
      </c>
      <c r="M5">
        <v>0.83</v>
      </c>
      <c r="N5">
        <v>12.9</v>
      </c>
      <c r="O5">
        <v>7.5</v>
      </c>
      <c r="P5">
        <v>50</v>
      </c>
      <c r="Q5">
        <f t="shared" si="0"/>
        <v>52.499999999999986</v>
      </c>
      <c r="R5" t="str">
        <f t="shared" si="1"/>
        <v>WIN</v>
      </c>
    </row>
    <row r="6" spans="1:19" x14ac:dyDescent="0.2">
      <c r="A6" t="s">
        <v>16</v>
      </c>
      <c r="B6" t="s">
        <v>24</v>
      </c>
      <c r="C6" t="s">
        <v>39</v>
      </c>
      <c r="D6">
        <v>11.5</v>
      </c>
      <c r="E6">
        <v>1.92</v>
      </c>
      <c r="F6" t="s">
        <v>44</v>
      </c>
      <c r="G6" t="s">
        <v>48</v>
      </c>
      <c r="H6" t="s">
        <v>52</v>
      </c>
      <c r="I6">
        <v>15.4</v>
      </c>
      <c r="J6">
        <v>95.6</v>
      </c>
      <c r="K6">
        <v>43.5</v>
      </c>
      <c r="L6">
        <v>0.83599999999999997</v>
      </c>
      <c r="M6">
        <v>0.91</v>
      </c>
      <c r="N6">
        <v>33.700000000000003</v>
      </c>
      <c r="O6">
        <v>12</v>
      </c>
      <c r="P6">
        <v>50</v>
      </c>
      <c r="Q6">
        <f t="shared" si="0"/>
        <v>46</v>
      </c>
      <c r="R6" t="str">
        <f t="shared" si="1"/>
        <v>WIN</v>
      </c>
    </row>
    <row r="7" spans="1:19" x14ac:dyDescent="0.2">
      <c r="A7" t="s">
        <v>16</v>
      </c>
      <c r="B7" t="s">
        <v>20</v>
      </c>
      <c r="C7" t="s">
        <v>39</v>
      </c>
      <c r="D7">
        <v>4.5</v>
      </c>
      <c r="E7">
        <v>2</v>
      </c>
      <c r="F7" t="s">
        <v>41</v>
      </c>
      <c r="G7" t="s">
        <v>48</v>
      </c>
      <c r="H7" t="s">
        <v>52</v>
      </c>
      <c r="I7">
        <v>5.9</v>
      </c>
      <c r="J7">
        <v>90.2</v>
      </c>
      <c r="K7">
        <v>40.200000000000003</v>
      </c>
      <c r="L7">
        <v>0.80400000000000005</v>
      </c>
      <c r="M7">
        <v>0.95</v>
      </c>
      <c r="N7">
        <v>30.4</v>
      </c>
      <c r="O7">
        <v>12</v>
      </c>
      <c r="P7">
        <v>0</v>
      </c>
      <c r="Q7">
        <f t="shared" si="0"/>
        <v>0</v>
      </c>
    </row>
    <row r="8" spans="1:19" x14ac:dyDescent="0.2">
      <c r="A8" t="s">
        <v>16</v>
      </c>
      <c r="B8" t="s">
        <v>25</v>
      </c>
      <c r="C8" t="s">
        <v>38</v>
      </c>
      <c r="D8">
        <v>3.5</v>
      </c>
      <c r="E8">
        <v>1.82</v>
      </c>
      <c r="F8" t="s">
        <v>45</v>
      </c>
      <c r="G8" t="s">
        <v>48</v>
      </c>
      <c r="H8" t="s">
        <v>52</v>
      </c>
      <c r="I8">
        <v>5.5</v>
      </c>
      <c r="J8">
        <v>99</v>
      </c>
      <c r="K8">
        <v>44.1</v>
      </c>
      <c r="L8">
        <v>0.80300000000000005</v>
      </c>
      <c r="M8">
        <v>0.85</v>
      </c>
      <c r="N8">
        <v>57.7</v>
      </c>
      <c r="O8">
        <v>12</v>
      </c>
      <c r="P8">
        <v>50</v>
      </c>
      <c r="Q8">
        <v>-50</v>
      </c>
      <c r="R8" t="str">
        <f t="shared" si="1"/>
        <v>LOSE</v>
      </c>
    </row>
    <row r="9" spans="1:19" x14ac:dyDescent="0.2">
      <c r="A9" t="s">
        <v>17</v>
      </c>
      <c r="B9" t="s">
        <v>26</v>
      </c>
      <c r="C9" t="s">
        <v>38</v>
      </c>
      <c r="D9">
        <v>9.5</v>
      </c>
      <c r="E9">
        <v>1.92</v>
      </c>
      <c r="F9" t="s">
        <v>44</v>
      </c>
      <c r="G9" t="s">
        <v>49</v>
      </c>
      <c r="H9" t="s">
        <v>52</v>
      </c>
      <c r="I9">
        <v>11.3</v>
      </c>
      <c r="J9">
        <v>92</v>
      </c>
      <c r="K9">
        <v>39.9</v>
      </c>
      <c r="L9">
        <v>0.76600000000000001</v>
      </c>
      <c r="M9">
        <v>0.95</v>
      </c>
      <c r="N9">
        <v>19.3</v>
      </c>
      <c r="O9">
        <v>7.5</v>
      </c>
      <c r="P9">
        <v>50</v>
      </c>
      <c r="Q9">
        <f t="shared" si="0"/>
        <v>46</v>
      </c>
      <c r="R9" t="str">
        <f t="shared" si="1"/>
        <v>WIN</v>
      </c>
    </row>
    <row r="10" spans="1:19" x14ac:dyDescent="0.2">
      <c r="A10" t="s">
        <v>18</v>
      </c>
      <c r="B10" t="s">
        <v>27</v>
      </c>
      <c r="C10" t="s">
        <v>40</v>
      </c>
      <c r="D10">
        <v>1.5</v>
      </c>
      <c r="E10">
        <v>1.82</v>
      </c>
      <c r="F10" t="s">
        <v>46</v>
      </c>
      <c r="G10" t="s">
        <v>50</v>
      </c>
      <c r="H10" t="s">
        <v>52</v>
      </c>
      <c r="I10">
        <v>2.2999999999999998</v>
      </c>
      <c r="J10">
        <v>95.3</v>
      </c>
      <c r="K10">
        <v>40.4</v>
      </c>
      <c r="L10">
        <v>0.73499999999999999</v>
      </c>
      <c r="M10">
        <v>0.78</v>
      </c>
      <c r="N10">
        <v>53.3</v>
      </c>
      <c r="O10">
        <v>12</v>
      </c>
      <c r="P10">
        <v>50</v>
      </c>
      <c r="Q10">
        <f t="shared" si="0"/>
        <v>41</v>
      </c>
      <c r="R10" t="str">
        <f t="shared" si="1"/>
        <v>WIN</v>
      </c>
    </row>
    <row r="11" spans="1:19" x14ac:dyDescent="0.2">
      <c r="A11" t="s">
        <v>17</v>
      </c>
      <c r="B11" t="s">
        <v>21</v>
      </c>
      <c r="C11" t="s">
        <v>38</v>
      </c>
      <c r="D11">
        <v>4.5</v>
      </c>
      <c r="E11">
        <v>2.02</v>
      </c>
      <c r="F11" t="s">
        <v>43</v>
      </c>
      <c r="G11" t="s">
        <v>49</v>
      </c>
      <c r="H11" t="s">
        <v>52</v>
      </c>
      <c r="I11">
        <v>5.2</v>
      </c>
      <c r="J11">
        <v>85.7</v>
      </c>
      <c r="K11">
        <v>36.200000000000003</v>
      </c>
      <c r="L11">
        <v>0.73099999999999998</v>
      </c>
      <c r="M11">
        <v>0.95</v>
      </c>
      <c r="N11">
        <v>15.6</v>
      </c>
      <c r="O11">
        <v>7.5</v>
      </c>
      <c r="P11">
        <v>50</v>
      </c>
      <c r="Q11">
        <v>-50</v>
      </c>
      <c r="R11" t="str">
        <f t="shared" si="1"/>
        <v>LOSE</v>
      </c>
    </row>
    <row r="12" spans="1:19" x14ac:dyDescent="0.2">
      <c r="A12" t="s">
        <v>16</v>
      </c>
      <c r="B12" t="s">
        <v>28</v>
      </c>
      <c r="C12" t="s">
        <v>40</v>
      </c>
      <c r="D12">
        <v>4.5</v>
      </c>
      <c r="E12">
        <v>1.74</v>
      </c>
      <c r="F12" t="s">
        <v>43</v>
      </c>
      <c r="G12" t="s">
        <v>48</v>
      </c>
      <c r="H12" t="s">
        <v>52</v>
      </c>
      <c r="I12">
        <v>6.4</v>
      </c>
      <c r="J12">
        <v>98.1</v>
      </c>
      <c r="K12">
        <v>40.6</v>
      </c>
      <c r="L12">
        <v>0.70699999999999996</v>
      </c>
      <c r="M12">
        <v>0.86</v>
      </c>
      <c r="N12">
        <v>41.1</v>
      </c>
      <c r="O12">
        <v>12</v>
      </c>
      <c r="P12">
        <v>50</v>
      </c>
      <c r="Q12">
        <f t="shared" si="0"/>
        <v>37</v>
      </c>
      <c r="R12" t="str">
        <f t="shared" si="1"/>
        <v>WIN</v>
      </c>
    </row>
    <row r="13" spans="1:19" x14ac:dyDescent="0.2">
      <c r="A13" t="s">
        <v>16</v>
      </c>
      <c r="B13" t="s">
        <v>29</v>
      </c>
      <c r="C13" t="s">
        <v>38</v>
      </c>
      <c r="D13">
        <v>6.5</v>
      </c>
      <c r="E13">
        <v>1.76</v>
      </c>
      <c r="F13" t="s">
        <v>47</v>
      </c>
      <c r="G13" t="s">
        <v>48</v>
      </c>
      <c r="H13" t="s">
        <v>52</v>
      </c>
      <c r="I13">
        <v>8</v>
      </c>
      <c r="J13">
        <v>94.6</v>
      </c>
      <c r="K13">
        <v>37.799999999999997</v>
      </c>
      <c r="L13">
        <v>0.66600000000000004</v>
      </c>
      <c r="M13">
        <v>0.92</v>
      </c>
      <c r="N13">
        <v>23.2</v>
      </c>
      <c r="O13">
        <v>12</v>
      </c>
      <c r="P13">
        <v>50</v>
      </c>
      <c r="Q13">
        <v>-50</v>
      </c>
      <c r="R13" t="str">
        <f t="shared" si="1"/>
        <v>LOSE</v>
      </c>
    </row>
    <row r="14" spans="1:19" x14ac:dyDescent="0.2">
      <c r="A14" t="s">
        <v>17</v>
      </c>
      <c r="B14" t="s">
        <v>30</v>
      </c>
      <c r="C14" t="s">
        <v>39</v>
      </c>
      <c r="D14">
        <v>9.5</v>
      </c>
      <c r="E14">
        <v>2</v>
      </c>
      <c r="F14" t="s">
        <v>47</v>
      </c>
      <c r="G14" t="s">
        <v>49</v>
      </c>
      <c r="H14" t="s">
        <v>52</v>
      </c>
      <c r="I14">
        <v>11</v>
      </c>
      <c r="J14">
        <v>82.7</v>
      </c>
      <c r="K14">
        <v>32.700000000000003</v>
      </c>
      <c r="L14">
        <v>0.65500000000000003</v>
      </c>
      <c r="M14">
        <v>0.8</v>
      </c>
      <c r="N14">
        <v>15.8</v>
      </c>
      <c r="O14">
        <v>7.5</v>
      </c>
      <c r="P14">
        <v>50</v>
      </c>
      <c r="Q14">
        <f t="shared" si="0"/>
        <v>50</v>
      </c>
      <c r="R14" t="str">
        <f t="shared" si="1"/>
        <v>WIN</v>
      </c>
    </row>
    <row r="15" spans="1:19" x14ac:dyDescent="0.2">
      <c r="A15" t="s">
        <v>18</v>
      </c>
      <c r="B15" t="s">
        <v>27</v>
      </c>
      <c r="C15" t="s">
        <v>38</v>
      </c>
      <c r="D15">
        <v>10.5</v>
      </c>
      <c r="E15">
        <v>1.74</v>
      </c>
      <c r="F15" t="s">
        <v>46</v>
      </c>
      <c r="G15" t="s">
        <v>50</v>
      </c>
      <c r="H15" t="s">
        <v>52</v>
      </c>
      <c r="I15">
        <v>12.6</v>
      </c>
      <c r="J15">
        <v>93</v>
      </c>
      <c r="K15">
        <v>35.6</v>
      </c>
      <c r="L15">
        <v>0.61899999999999999</v>
      </c>
      <c r="M15">
        <v>0.81</v>
      </c>
      <c r="N15">
        <v>20</v>
      </c>
      <c r="O15">
        <v>12</v>
      </c>
      <c r="P15">
        <v>50</v>
      </c>
      <c r="Q15">
        <f t="shared" si="0"/>
        <v>37</v>
      </c>
      <c r="R15" t="str">
        <f t="shared" si="1"/>
        <v>WIN</v>
      </c>
    </row>
    <row r="16" spans="1:19" x14ac:dyDescent="0.2">
      <c r="A16" t="s">
        <v>18</v>
      </c>
      <c r="B16" t="s">
        <v>31</v>
      </c>
      <c r="C16" t="s">
        <v>38</v>
      </c>
      <c r="D16">
        <v>4.5</v>
      </c>
      <c r="E16">
        <v>2.1</v>
      </c>
      <c r="F16" t="s">
        <v>47</v>
      </c>
      <c r="G16" t="s">
        <v>50</v>
      </c>
      <c r="H16" t="s">
        <v>52</v>
      </c>
      <c r="I16">
        <v>5</v>
      </c>
      <c r="J16">
        <v>75.3</v>
      </c>
      <c r="K16">
        <v>27.6</v>
      </c>
      <c r="L16">
        <v>0.57999999999999996</v>
      </c>
      <c r="M16">
        <v>0.93</v>
      </c>
      <c r="N16">
        <v>10.7</v>
      </c>
      <c r="O16">
        <v>12</v>
      </c>
      <c r="P16">
        <v>50</v>
      </c>
      <c r="Q16">
        <f t="shared" si="0"/>
        <v>55</v>
      </c>
      <c r="R16" t="str">
        <f t="shared" si="1"/>
        <v>WIN</v>
      </c>
    </row>
    <row r="17" spans="1:18" x14ac:dyDescent="0.2">
      <c r="A17" t="s">
        <v>17</v>
      </c>
      <c r="B17" t="s">
        <v>32</v>
      </c>
      <c r="C17" t="s">
        <v>38</v>
      </c>
      <c r="D17">
        <v>5.5</v>
      </c>
      <c r="E17">
        <v>2.1</v>
      </c>
      <c r="F17" t="s">
        <v>45</v>
      </c>
      <c r="G17" t="s">
        <v>49</v>
      </c>
      <c r="H17" t="s">
        <v>52</v>
      </c>
      <c r="I17">
        <v>6.2</v>
      </c>
      <c r="J17">
        <v>74.8</v>
      </c>
      <c r="K17">
        <v>27.2</v>
      </c>
      <c r="L17">
        <v>0.57099999999999995</v>
      </c>
      <c r="M17">
        <v>0.82</v>
      </c>
      <c r="N17">
        <v>13.3</v>
      </c>
      <c r="O17">
        <v>7.5</v>
      </c>
      <c r="P17">
        <v>50</v>
      </c>
      <c r="Q17">
        <v>-50</v>
      </c>
      <c r="R17" t="str">
        <f t="shared" si="1"/>
        <v>LOSE</v>
      </c>
    </row>
    <row r="18" spans="1:18" x14ac:dyDescent="0.2">
      <c r="A18" t="s">
        <v>18</v>
      </c>
      <c r="B18" t="s">
        <v>33</v>
      </c>
      <c r="C18" t="s">
        <v>39</v>
      </c>
      <c r="D18">
        <v>19.5</v>
      </c>
      <c r="E18">
        <v>1.74</v>
      </c>
      <c r="F18" t="s">
        <v>42</v>
      </c>
      <c r="G18" t="s">
        <v>50</v>
      </c>
      <c r="H18" t="s">
        <v>52</v>
      </c>
      <c r="I18">
        <v>22.3</v>
      </c>
      <c r="J18">
        <v>85.8</v>
      </c>
      <c r="K18">
        <v>28.3</v>
      </c>
      <c r="L18">
        <v>0.49199999999999999</v>
      </c>
      <c r="M18">
        <v>0.78</v>
      </c>
      <c r="N18">
        <v>14.2</v>
      </c>
      <c r="O18">
        <v>12</v>
      </c>
      <c r="P18">
        <v>50</v>
      </c>
      <c r="Q18">
        <v>-50</v>
      </c>
      <c r="R18" t="str">
        <f t="shared" si="1"/>
        <v>LOSE</v>
      </c>
    </row>
    <row r="19" spans="1:18" x14ac:dyDescent="0.2">
      <c r="A19" t="s">
        <v>16</v>
      </c>
      <c r="B19" t="s">
        <v>28</v>
      </c>
      <c r="C19" t="s">
        <v>39</v>
      </c>
      <c r="D19">
        <v>11.5</v>
      </c>
      <c r="E19">
        <v>1.74</v>
      </c>
      <c r="F19" t="s">
        <v>42</v>
      </c>
      <c r="G19" t="s">
        <v>48</v>
      </c>
      <c r="H19" t="s">
        <v>52</v>
      </c>
      <c r="I19">
        <v>14.1</v>
      </c>
      <c r="J19">
        <v>83</v>
      </c>
      <c r="K19">
        <v>25.6</v>
      </c>
      <c r="L19">
        <v>0.44500000000000001</v>
      </c>
      <c r="M19">
        <v>0.8</v>
      </c>
      <c r="N19">
        <v>22.9</v>
      </c>
      <c r="O19">
        <v>12</v>
      </c>
      <c r="P19">
        <v>50</v>
      </c>
      <c r="Q19">
        <f t="shared" si="0"/>
        <v>37</v>
      </c>
      <c r="R19" t="str">
        <f t="shared" si="1"/>
        <v>WIN</v>
      </c>
    </row>
    <row r="20" spans="1:18" x14ac:dyDescent="0.2">
      <c r="A20" t="s">
        <v>17</v>
      </c>
      <c r="B20" t="s">
        <v>30</v>
      </c>
      <c r="C20" t="s">
        <v>40</v>
      </c>
      <c r="D20">
        <v>7.5</v>
      </c>
      <c r="E20">
        <v>1.8</v>
      </c>
      <c r="F20" t="s">
        <v>41</v>
      </c>
      <c r="G20" t="s">
        <v>49</v>
      </c>
      <c r="H20" t="s">
        <v>53</v>
      </c>
      <c r="I20">
        <v>6.7</v>
      </c>
      <c r="J20">
        <v>79.2</v>
      </c>
      <c r="K20">
        <v>23.6</v>
      </c>
      <c r="L20">
        <v>0.42499999999999999</v>
      </c>
      <c r="M20">
        <v>0.8</v>
      </c>
      <c r="N20">
        <v>-10.7</v>
      </c>
      <c r="O20">
        <v>7.5</v>
      </c>
      <c r="P20">
        <v>50</v>
      </c>
      <c r="Q20">
        <v>-50</v>
      </c>
      <c r="R20" t="str">
        <f t="shared" si="1"/>
        <v>LOSE</v>
      </c>
    </row>
    <row r="21" spans="1:18" x14ac:dyDescent="0.2">
      <c r="A21" t="s">
        <v>19</v>
      </c>
      <c r="B21" t="s">
        <v>34</v>
      </c>
      <c r="C21" t="s">
        <v>39</v>
      </c>
      <c r="D21">
        <v>21.5</v>
      </c>
      <c r="E21">
        <v>1.74</v>
      </c>
      <c r="F21" t="s">
        <v>43</v>
      </c>
      <c r="G21" t="s">
        <v>51</v>
      </c>
      <c r="H21" t="s">
        <v>53</v>
      </c>
      <c r="I21">
        <v>18.399999999999999</v>
      </c>
      <c r="J21">
        <v>81.8</v>
      </c>
      <c r="K21">
        <v>24.3</v>
      </c>
      <c r="L21">
        <v>0.42299999999999999</v>
      </c>
      <c r="M21">
        <v>0.9</v>
      </c>
      <c r="N21">
        <v>-14.4</v>
      </c>
      <c r="O21">
        <v>16.5</v>
      </c>
      <c r="P21">
        <v>50</v>
      </c>
      <c r="Q21">
        <f t="shared" si="0"/>
        <v>37</v>
      </c>
      <c r="R21" t="str">
        <f t="shared" si="1"/>
        <v>WIN</v>
      </c>
    </row>
    <row r="22" spans="1:18" x14ac:dyDescent="0.2">
      <c r="A22" t="s">
        <v>18</v>
      </c>
      <c r="B22" t="s">
        <v>35</v>
      </c>
      <c r="C22" t="s">
        <v>38</v>
      </c>
      <c r="D22">
        <v>3.5</v>
      </c>
      <c r="E22">
        <v>1.76</v>
      </c>
      <c r="F22" t="s">
        <v>47</v>
      </c>
      <c r="G22" t="s">
        <v>50</v>
      </c>
      <c r="H22" t="s">
        <v>52</v>
      </c>
      <c r="I22">
        <v>4</v>
      </c>
      <c r="J22">
        <v>78.7</v>
      </c>
      <c r="K22">
        <v>21.9</v>
      </c>
      <c r="L22">
        <v>0.38500000000000001</v>
      </c>
      <c r="M22">
        <v>0.81</v>
      </c>
      <c r="N22">
        <v>15.7</v>
      </c>
      <c r="O22">
        <v>12</v>
      </c>
      <c r="P22">
        <v>50</v>
      </c>
      <c r="Q22">
        <f t="shared" si="0"/>
        <v>38</v>
      </c>
      <c r="R22" t="str">
        <f t="shared" si="1"/>
        <v>WIN</v>
      </c>
    </row>
    <row r="23" spans="1:18" x14ac:dyDescent="0.2">
      <c r="A23" t="s">
        <v>17</v>
      </c>
      <c r="B23" t="s">
        <v>36</v>
      </c>
      <c r="C23" t="s">
        <v>39</v>
      </c>
      <c r="D23">
        <v>5.5</v>
      </c>
      <c r="E23">
        <v>1.76</v>
      </c>
      <c r="F23" t="s">
        <v>47</v>
      </c>
      <c r="G23" t="s">
        <v>49</v>
      </c>
      <c r="H23" t="s">
        <v>53</v>
      </c>
      <c r="I23">
        <v>4.7</v>
      </c>
      <c r="J23">
        <v>76.2</v>
      </c>
      <c r="K23">
        <v>19.399999999999999</v>
      </c>
      <c r="L23">
        <v>0.34100000000000003</v>
      </c>
      <c r="M23">
        <v>0.95</v>
      </c>
      <c r="N23">
        <v>-14.4</v>
      </c>
      <c r="O23">
        <v>7.5</v>
      </c>
      <c r="P23">
        <v>50</v>
      </c>
      <c r="Q23">
        <v>-50</v>
      </c>
      <c r="R23" t="str">
        <f t="shared" si="1"/>
        <v>LOSE</v>
      </c>
    </row>
    <row r="24" spans="1:18" x14ac:dyDescent="0.2">
      <c r="A24" t="s">
        <v>16</v>
      </c>
      <c r="B24" t="s">
        <v>37</v>
      </c>
      <c r="C24" t="s">
        <v>38</v>
      </c>
      <c r="D24">
        <v>5.5</v>
      </c>
      <c r="E24">
        <v>1.94</v>
      </c>
      <c r="F24" t="s">
        <v>47</v>
      </c>
      <c r="G24" t="s">
        <v>48</v>
      </c>
      <c r="H24" t="s">
        <v>52</v>
      </c>
      <c r="I24">
        <v>6.1</v>
      </c>
      <c r="J24">
        <v>67.900000000000006</v>
      </c>
      <c r="K24">
        <v>16.3</v>
      </c>
      <c r="L24">
        <v>0.317</v>
      </c>
      <c r="M24">
        <v>0.79</v>
      </c>
      <c r="N24">
        <v>11.6</v>
      </c>
      <c r="O24">
        <v>12</v>
      </c>
      <c r="P24">
        <v>50</v>
      </c>
      <c r="Q24">
        <f t="shared" si="0"/>
        <v>47</v>
      </c>
      <c r="R24" t="str">
        <f t="shared" si="1"/>
        <v>WIN</v>
      </c>
    </row>
    <row r="25" spans="1:18" x14ac:dyDescent="0.2">
      <c r="E25">
        <f>AVERAGE(E2:E24)</f>
        <v>1.8947826086956521</v>
      </c>
      <c r="P25">
        <f>SUM(P2:P24)</f>
        <v>1050</v>
      </c>
      <c r="Q25">
        <f>SUM(Q2:Q24)</f>
        <v>175.99999999999997</v>
      </c>
    </row>
    <row r="26" spans="1:18" x14ac:dyDescent="0.2">
      <c r="Q26" s="2">
        <f>Q25/P25</f>
        <v>0.16761904761904758</v>
      </c>
    </row>
  </sheetData>
  <autoFilter ref="A1:S26" xr:uid="{00000000-0001-0000-0000-000000000000}"/>
  <conditionalFormatting sqref="R2:R24">
    <cfRule type="expression" dxfId="2" priority="2">
      <formula>Q2=-50</formula>
    </cfRule>
    <cfRule type="expression" dxfId="1" priority="1">
      <formula>Q2&gt;-50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2025-12-21T23:12:28Z</dcterms:created>
  <dcterms:modified xsi:type="dcterms:W3CDTF">2025-12-22T13:24:22Z</dcterms:modified>
</cp:coreProperties>
</file>