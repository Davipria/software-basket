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epriarone/Desktop/Lavoro/Progetti/Basket/Risultati/"/>
    </mc:Choice>
  </mc:AlternateContent>
  <xr:revisionPtr revIDLastSave="0" documentId="13_ncr:1_{C9847603-5422-EE43-9566-1E9A49C838AC}" xr6:coauthVersionLast="47" xr6:coauthVersionMax="47" xr10:uidLastSave="{00000000-0000-0000-0000-000000000000}"/>
  <bookViews>
    <workbookView xWindow="0" yWindow="620" windowWidth="28800" windowHeight="16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Q15" i="1"/>
  <c r="Q16" i="1" s="1"/>
  <c r="P15" i="1"/>
  <c r="R3" i="1"/>
  <c r="R4" i="1"/>
  <c r="S3" i="1" s="1"/>
  <c r="R5" i="1"/>
  <c r="R6" i="1"/>
  <c r="R7" i="1"/>
  <c r="R8" i="1"/>
  <c r="R9" i="1"/>
  <c r="R10" i="1"/>
  <c r="R11" i="1"/>
  <c r="R12" i="1"/>
  <c r="R13" i="1"/>
  <c r="R14" i="1"/>
  <c r="R2" i="1"/>
  <c r="Q3" i="1"/>
  <c r="Q6" i="1"/>
  <c r="Q7" i="1"/>
  <c r="Q8" i="1"/>
  <c r="Q11" i="1"/>
  <c r="Q13" i="1"/>
  <c r="Q14" i="1"/>
  <c r="S2" i="1" l="1"/>
</calcChain>
</file>

<file path=xl/sharedStrings.xml><?xml version="1.0" encoding="utf-8"?>
<sst xmlns="http://schemas.openxmlformats.org/spreadsheetml/2006/main" count="94" uniqueCount="41">
  <si>
    <t>game_id</t>
  </si>
  <si>
    <t>player</t>
  </si>
  <si>
    <t>stat</t>
  </si>
  <si>
    <t>line</t>
  </si>
  <si>
    <t>odds</t>
  </si>
  <si>
    <t>bookmaker</t>
  </si>
  <si>
    <t>matchup</t>
  </si>
  <si>
    <t>bet_type</t>
  </si>
  <si>
    <t>ml_prediction</t>
  </si>
  <si>
    <t>prob_real</t>
  </si>
  <si>
    <t>edge</t>
  </si>
  <si>
    <t>ev</t>
  </si>
  <si>
    <t>confidence_score</t>
  </si>
  <si>
    <t>diff_pct</t>
  </si>
  <si>
    <t>spread_game</t>
  </si>
  <si>
    <t>rec_stake_1k</t>
  </si>
  <si>
    <t>42db7e7ed193f516e561773b04b56eca</t>
  </si>
  <si>
    <t>Julian Champagnie</t>
  </si>
  <si>
    <t>Harrison Barnes</t>
  </si>
  <si>
    <t>Keldon Johnson</t>
  </si>
  <si>
    <t>Victor Wembanyama</t>
  </si>
  <si>
    <t>Dylan Harper</t>
  </si>
  <si>
    <t>Mikal Bridges</t>
  </si>
  <si>
    <t>Devin Vassell</t>
  </si>
  <si>
    <t>Stephon Castle</t>
  </si>
  <si>
    <t>Karl-Anthony Towns</t>
  </si>
  <si>
    <t>Jalen Brunson</t>
  </si>
  <si>
    <t>OG Anunoby</t>
  </si>
  <si>
    <t>rebounds</t>
  </si>
  <si>
    <t>points</t>
  </si>
  <si>
    <t>assists</t>
  </si>
  <si>
    <t>BetMGM</t>
  </si>
  <si>
    <t>BetRivers</t>
  </si>
  <si>
    <t>Bovada</t>
  </si>
  <si>
    <t>Pinnacle</t>
  </si>
  <si>
    <t>FanDuel</t>
  </si>
  <si>
    <t>BetOnline.ag</t>
  </si>
  <si>
    <t>DraftKings</t>
  </si>
  <si>
    <t>San Antonio Spurs @ New York Knicks</t>
  </si>
  <si>
    <t>Over</t>
  </si>
  <si>
    <t>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</si>
</sst>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e" xfId="0" builtinId="0"/>
    <cellStyle name="Percentuale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tabSelected="1" workbookViewId="0">
      <selection activeCell="E15" sqref="E15"/>
    </sheetView>
  </sheetViews>
  <sheetFormatPr baseColWidth="10" defaultColWidth="8.83203125" defaultRowHeight="15" x14ac:dyDescent="0.2"/>
  <cols>
    <col min="2" max="2" width="17.1640625" bestFit="1" customWidth="1"/>
    <col min="7" max="7" width="29.832031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9" x14ac:dyDescent="0.2">
      <c r="A2" t="s">
        <v>16</v>
      </c>
      <c r="B2" t="s">
        <v>17</v>
      </c>
      <c r="C2" t="s">
        <v>28</v>
      </c>
      <c r="D2">
        <v>4.5</v>
      </c>
      <c r="E2">
        <v>2.1</v>
      </c>
      <c r="F2" t="s">
        <v>31</v>
      </c>
      <c r="G2" t="s">
        <v>38</v>
      </c>
      <c r="H2" t="s">
        <v>39</v>
      </c>
      <c r="I2">
        <v>6.3</v>
      </c>
      <c r="J2">
        <v>97.3</v>
      </c>
      <c r="K2">
        <v>49.7</v>
      </c>
      <c r="L2">
        <v>1.044</v>
      </c>
      <c r="M2">
        <v>0.95</v>
      </c>
      <c r="N2">
        <v>40.200000000000003</v>
      </c>
      <c r="O2">
        <v>2.5</v>
      </c>
      <c r="P2">
        <v>50</v>
      </c>
      <c r="Q2">
        <v>-50</v>
      </c>
      <c r="R2" t="str">
        <f>IF(Q2=-50,"LOSE","WIN")</f>
        <v>LOSE</v>
      </c>
      <c r="S2">
        <f>COUNTIF(R2:R14,"WIN")</f>
        <v>7</v>
      </c>
    </row>
    <row r="3" spans="1:19" x14ac:dyDescent="0.2">
      <c r="A3" t="s">
        <v>16</v>
      </c>
      <c r="B3" t="s">
        <v>18</v>
      </c>
      <c r="C3" t="s">
        <v>29</v>
      </c>
      <c r="D3">
        <v>10.5</v>
      </c>
      <c r="E3">
        <v>2.1</v>
      </c>
      <c r="F3" t="s">
        <v>32</v>
      </c>
      <c r="G3" t="s">
        <v>38</v>
      </c>
      <c r="H3" t="s">
        <v>39</v>
      </c>
      <c r="I3">
        <v>14.6</v>
      </c>
      <c r="J3">
        <v>94.5</v>
      </c>
      <c r="K3">
        <v>46.9</v>
      </c>
      <c r="L3">
        <v>0.98399999999999999</v>
      </c>
      <c r="M3">
        <v>0.8</v>
      </c>
      <c r="N3">
        <v>38.9</v>
      </c>
      <c r="O3">
        <v>2.5</v>
      </c>
      <c r="P3">
        <v>50</v>
      </c>
      <c r="Q3">
        <f t="shared" ref="Q3:Q14" si="0">P3*E3-P3</f>
        <v>55</v>
      </c>
      <c r="R3" t="str">
        <f t="shared" ref="R3:R14" si="1">IF(Q3=-50,"LOSE","WIN")</f>
        <v>WIN</v>
      </c>
      <c r="S3">
        <f>COUNTIF(R2:R14,"LOSE")</f>
        <v>6</v>
      </c>
    </row>
    <row r="4" spans="1:19" x14ac:dyDescent="0.2">
      <c r="A4" t="s">
        <v>16</v>
      </c>
      <c r="B4" t="s">
        <v>19</v>
      </c>
      <c r="C4" t="s">
        <v>29</v>
      </c>
      <c r="D4">
        <v>6.5</v>
      </c>
      <c r="E4">
        <v>1.95</v>
      </c>
      <c r="F4" t="s">
        <v>31</v>
      </c>
      <c r="G4" t="s">
        <v>38</v>
      </c>
      <c r="H4" t="s">
        <v>39</v>
      </c>
      <c r="I4">
        <v>11.4</v>
      </c>
      <c r="J4">
        <v>99.9</v>
      </c>
      <c r="K4">
        <v>48.6</v>
      </c>
      <c r="L4">
        <v>0.94799999999999995</v>
      </c>
      <c r="M4">
        <v>0.95</v>
      </c>
      <c r="N4">
        <v>74.900000000000006</v>
      </c>
      <c r="O4">
        <v>2.5</v>
      </c>
      <c r="P4">
        <v>50</v>
      </c>
      <c r="Q4">
        <v>-50</v>
      </c>
      <c r="R4" t="str">
        <f t="shared" si="1"/>
        <v>LOSE</v>
      </c>
    </row>
    <row r="5" spans="1:19" x14ac:dyDescent="0.2">
      <c r="A5" t="s">
        <v>16</v>
      </c>
      <c r="B5" t="s">
        <v>20</v>
      </c>
      <c r="C5" t="s">
        <v>29</v>
      </c>
      <c r="D5">
        <v>22.5</v>
      </c>
      <c r="E5">
        <v>2.1</v>
      </c>
      <c r="F5" t="s">
        <v>33</v>
      </c>
      <c r="G5" t="s">
        <v>38</v>
      </c>
      <c r="H5" t="s">
        <v>39</v>
      </c>
      <c r="I5">
        <v>27</v>
      </c>
      <c r="J5">
        <v>92.7</v>
      </c>
      <c r="K5">
        <v>45.1</v>
      </c>
      <c r="L5">
        <v>0.94699999999999995</v>
      </c>
      <c r="M5">
        <v>0.85</v>
      </c>
      <c r="N5">
        <v>20</v>
      </c>
      <c r="O5">
        <v>2.5</v>
      </c>
      <c r="P5">
        <v>50</v>
      </c>
      <c r="Q5">
        <v>-50</v>
      </c>
      <c r="R5" t="str">
        <f t="shared" si="1"/>
        <v>LOSE</v>
      </c>
    </row>
    <row r="6" spans="1:19" x14ac:dyDescent="0.2">
      <c r="A6" t="s">
        <v>16</v>
      </c>
      <c r="B6" t="s">
        <v>21</v>
      </c>
      <c r="C6" t="s">
        <v>29</v>
      </c>
      <c r="D6">
        <v>10.5</v>
      </c>
      <c r="E6">
        <v>1.93</v>
      </c>
      <c r="F6" t="s">
        <v>34</v>
      </c>
      <c r="G6" t="s">
        <v>38</v>
      </c>
      <c r="H6" t="s">
        <v>39</v>
      </c>
      <c r="I6">
        <v>13.4</v>
      </c>
      <c r="J6">
        <v>96.1</v>
      </c>
      <c r="K6">
        <v>44.3</v>
      </c>
      <c r="L6">
        <v>0.85499999999999998</v>
      </c>
      <c r="M6">
        <v>0.91</v>
      </c>
      <c r="N6">
        <v>27.7</v>
      </c>
      <c r="O6">
        <v>2.5</v>
      </c>
      <c r="P6">
        <v>50</v>
      </c>
      <c r="Q6">
        <f t="shared" si="0"/>
        <v>46.5</v>
      </c>
      <c r="R6" t="str">
        <f t="shared" si="1"/>
        <v>WIN</v>
      </c>
    </row>
    <row r="7" spans="1:19" x14ac:dyDescent="0.2">
      <c r="A7" t="s">
        <v>16</v>
      </c>
      <c r="B7" t="s">
        <v>22</v>
      </c>
      <c r="C7" t="s">
        <v>30</v>
      </c>
      <c r="D7">
        <v>3.5</v>
      </c>
      <c r="E7">
        <v>1.96</v>
      </c>
      <c r="F7" t="s">
        <v>35</v>
      </c>
      <c r="G7" t="s">
        <v>38</v>
      </c>
      <c r="H7" t="s">
        <v>39</v>
      </c>
      <c r="I7">
        <v>4.4000000000000004</v>
      </c>
      <c r="J7">
        <v>92.5</v>
      </c>
      <c r="K7">
        <v>41.5</v>
      </c>
      <c r="L7">
        <v>0.81299999999999994</v>
      </c>
      <c r="M7">
        <v>0.85</v>
      </c>
      <c r="N7">
        <v>26.3</v>
      </c>
      <c r="O7">
        <v>2.5</v>
      </c>
      <c r="P7">
        <v>50</v>
      </c>
      <c r="Q7">
        <f t="shared" si="0"/>
        <v>48</v>
      </c>
      <c r="R7" t="str">
        <f t="shared" si="1"/>
        <v>WIN</v>
      </c>
    </row>
    <row r="8" spans="1:19" x14ac:dyDescent="0.2">
      <c r="A8" t="s">
        <v>16</v>
      </c>
      <c r="B8" t="s">
        <v>23</v>
      </c>
      <c r="C8" t="s">
        <v>28</v>
      </c>
      <c r="D8">
        <v>3.5</v>
      </c>
      <c r="E8">
        <v>2.0499999999999998</v>
      </c>
      <c r="F8" t="s">
        <v>31</v>
      </c>
      <c r="G8" t="s">
        <v>38</v>
      </c>
      <c r="H8" t="s">
        <v>39</v>
      </c>
      <c r="I8">
        <v>3.9</v>
      </c>
      <c r="J8">
        <v>77.8</v>
      </c>
      <c r="K8">
        <v>29</v>
      </c>
      <c r="L8">
        <v>0.59499999999999997</v>
      </c>
      <c r="M8">
        <v>0.88</v>
      </c>
      <c r="N8">
        <v>12.3</v>
      </c>
      <c r="O8">
        <v>2.5</v>
      </c>
      <c r="P8">
        <v>50</v>
      </c>
      <c r="Q8">
        <f t="shared" si="0"/>
        <v>52.499999999999986</v>
      </c>
      <c r="R8" t="str">
        <f t="shared" si="1"/>
        <v>WIN</v>
      </c>
    </row>
    <row r="9" spans="1:19" x14ac:dyDescent="0.2">
      <c r="A9" t="s">
        <v>16</v>
      </c>
      <c r="B9" t="s">
        <v>24</v>
      </c>
      <c r="C9" t="s">
        <v>29</v>
      </c>
      <c r="D9">
        <v>16.5</v>
      </c>
      <c r="E9">
        <v>1.74</v>
      </c>
      <c r="F9" t="s">
        <v>33</v>
      </c>
      <c r="G9" t="s">
        <v>38</v>
      </c>
      <c r="H9" t="s">
        <v>39</v>
      </c>
      <c r="I9">
        <v>19.2</v>
      </c>
      <c r="J9">
        <v>89.3</v>
      </c>
      <c r="K9">
        <v>31.9</v>
      </c>
      <c r="L9">
        <v>0.55500000000000005</v>
      </c>
      <c r="M9">
        <v>0.87</v>
      </c>
      <c r="N9">
        <v>16.600000000000001</v>
      </c>
      <c r="O9">
        <v>2.5</v>
      </c>
      <c r="P9">
        <v>50</v>
      </c>
      <c r="Q9">
        <v>-50</v>
      </c>
      <c r="R9" t="str">
        <f t="shared" si="1"/>
        <v>LOSE</v>
      </c>
    </row>
    <row r="10" spans="1:19" x14ac:dyDescent="0.2">
      <c r="A10" t="s">
        <v>16</v>
      </c>
      <c r="B10" t="s">
        <v>25</v>
      </c>
      <c r="C10" t="s">
        <v>30</v>
      </c>
      <c r="D10">
        <v>2.5</v>
      </c>
      <c r="E10">
        <v>1.63</v>
      </c>
      <c r="F10" t="s">
        <v>32</v>
      </c>
      <c r="G10" t="s">
        <v>38</v>
      </c>
      <c r="H10" t="s">
        <v>39</v>
      </c>
      <c r="I10">
        <v>3.3</v>
      </c>
      <c r="J10">
        <v>95.3</v>
      </c>
      <c r="K10">
        <v>33.9</v>
      </c>
      <c r="L10">
        <v>0.55300000000000005</v>
      </c>
      <c r="M10">
        <v>0.82</v>
      </c>
      <c r="N10">
        <v>33.200000000000003</v>
      </c>
      <c r="O10">
        <v>2.5</v>
      </c>
      <c r="P10">
        <v>50</v>
      </c>
      <c r="Q10">
        <v>-50</v>
      </c>
      <c r="R10" t="str">
        <f t="shared" si="1"/>
        <v>LOSE</v>
      </c>
    </row>
    <row r="11" spans="1:19" x14ac:dyDescent="0.2">
      <c r="A11" t="s">
        <v>16</v>
      </c>
      <c r="B11" t="s">
        <v>18</v>
      </c>
      <c r="C11" t="s">
        <v>28</v>
      </c>
      <c r="D11">
        <v>3.5</v>
      </c>
      <c r="E11">
        <v>2.04</v>
      </c>
      <c r="F11" t="s">
        <v>36</v>
      </c>
      <c r="G11" t="s">
        <v>38</v>
      </c>
      <c r="H11" t="s">
        <v>40</v>
      </c>
      <c r="I11">
        <v>3.1</v>
      </c>
      <c r="J11">
        <v>76.099999999999994</v>
      </c>
      <c r="K11">
        <v>27.1</v>
      </c>
      <c r="L11">
        <v>0.55300000000000005</v>
      </c>
      <c r="M11">
        <v>0.76</v>
      </c>
      <c r="N11">
        <v>-11.7</v>
      </c>
      <c r="O11">
        <v>2.5</v>
      </c>
      <c r="P11">
        <v>50</v>
      </c>
      <c r="Q11">
        <f t="shared" si="0"/>
        <v>52</v>
      </c>
      <c r="R11" t="str">
        <f t="shared" si="1"/>
        <v>WIN</v>
      </c>
    </row>
    <row r="12" spans="1:19" x14ac:dyDescent="0.2">
      <c r="A12" t="s">
        <v>16</v>
      </c>
      <c r="B12" t="s">
        <v>26</v>
      </c>
      <c r="C12" t="s">
        <v>29</v>
      </c>
      <c r="D12">
        <v>28.5</v>
      </c>
      <c r="E12">
        <v>1.6</v>
      </c>
      <c r="F12" t="s">
        <v>32</v>
      </c>
      <c r="G12" t="s">
        <v>38</v>
      </c>
      <c r="H12" t="s">
        <v>39</v>
      </c>
      <c r="I12">
        <v>31.7</v>
      </c>
      <c r="J12">
        <v>92.6</v>
      </c>
      <c r="K12">
        <v>30.1</v>
      </c>
      <c r="L12">
        <v>0.48199999999999998</v>
      </c>
      <c r="M12">
        <v>0.95</v>
      </c>
      <c r="N12">
        <v>11.3</v>
      </c>
      <c r="O12">
        <v>2.5</v>
      </c>
      <c r="P12">
        <v>50</v>
      </c>
      <c r="Q12">
        <v>-50</v>
      </c>
      <c r="R12" t="str">
        <f t="shared" si="1"/>
        <v>LOSE</v>
      </c>
    </row>
    <row r="13" spans="1:19" x14ac:dyDescent="0.2">
      <c r="A13" t="s">
        <v>16</v>
      </c>
      <c r="B13" t="s">
        <v>26</v>
      </c>
      <c r="C13" t="s">
        <v>28</v>
      </c>
      <c r="D13">
        <v>2.5</v>
      </c>
      <c r="E13">
        <v>1.74</v>
      </c>
      <c r="F13" t="s">
        <v>37</v>
      </c>
      <c r="G13" t="s">
        <v>38</v>
      </c>
      <c r="H13" t="s">
        <v>39</v>
      </c>
      <c r="I13">
        <v>3</v>
      </c>
      <c r="J13">
        <v>79.099999999999994</v>
      </c>
      <c r="K13">
        <v>21.6</v>
      </c>
      <c r="L13">
        <v>0.376</v>
      </c>
      <c r="M13">
        <v>0.76</v>
      </c>
      <c r="N13">
        <v>20</v>
      </c>
      <c r="O13">
        <v>2.5</v>
      </c>
      <c r="P13">
        <v>50</v>
      </c>
      <c r="Q13">
        <f t="shared" si="0"/>
        <v>37</v>
      </c>
      <c r="R13" t="str">
        <f t="shared" si="1"/>
        <v>WIN</v>
      </c>
    </row>
    <row r="14" spans="1:19" x14ac:dyDescent="0.2">
      <c r="A14" t="s">
        <v>16</v>
      </c>
      <c r="B14" t="s">
        <v>27</v>
      </c>
      <c r="C14" t="s">
        <v>29</v>
      </c>
      <c r="D14">
        <v>14.5</v>
      </c>
      <c r="E14">
        <v>1.61</v>
      </c>
      <c r="F14" t="s">
        <v>33</v>
      </c>
      <c r="G14" t="s">
        <v>38</v>
      </c>
      <c r="H14" t="s">
        <v>39</v>
      </c>
      <c r="I14">
        <v>16.2</v>
      </c>
      <c r="J14">
        <v>77.5</v>
      </c>
      <c r="K14">
        <v>15.4</v>
      </c>
      <c r="L14">
        <v>0.248</v>
      </c>
      <c r="M14">
        <v>0.94</v>
      </c>
      <c r="N14">
        <v>11.8</v>
      </c>
      <c r="O14">
        <v>2.5</v>
      </c>
      <c r="P14">
        <v>50</v>
      </c>
      <c r="Q14">
        <f t="shared" si="0"/>
        <v>30.5</v>
      </c>
      <c r="R14" t="str">
        <f t="shared" si="1"/>
        <v>WIN</v>
      </c>
    </row>
    <row r="15" spans="1:19" x14ac:dyDescent="0.2">
      <c r="E15">
        <f>AVERAGE(E2:E14)</f>
        <v>1.8884615384615384</v>
      </c>
      <c r="P15">
        <f>SUM(P2:P14)</f>
        <v>650</v>
      </c>
      <c r="Q15">
        <f>SUM(Q2:Q14)</f>
        <v>21.499999999999986</v>
      </c>
    </row>
    <row r="16" spans="1:19" x14ac:dyDescent="0.2">
      <c r="Q16" s="2">
        <f>Q15/P15</f>
        <v>3.3076923076923052E-2</v>
      </c>
    </row>
  </sheetData>
  <conditionalFormatting sqref="R2:R14">
    <cfRule type="expression" dxfId="1" priority="1">
      <formula>Q2&gt;-50</formula>
    </cfRule>
    <cfRule type="expression" dxfId="0" priority="2">
      <formula>Q2=-50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Priarone - davide.priarone@studio.unibo.it</cp:lastModifiedBy>
  <dcterms:created xsi:type="dcterms:W3CDTF">2025-12-16T15:50:00Z</dcterms:created>
  <dcterms:modified xsi:type="dcterms:W3CDTF">2025-12-17T17:07:19Z</dcterms:modified>
</cp:coreProperties>
</file>