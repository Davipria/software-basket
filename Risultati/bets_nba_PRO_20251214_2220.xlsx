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8705F213-4EF7-5248-8358-051F8B36C4A0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Sheet1!$A$1:$S$57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P56" i="1"/>
  <c r="R6" i="1"/>
  <c r="R7" i="1"/>
  <c r="R38" i="1"/>
  <c r="R46" i="1"/>
  <c r="R3" i="1"/>
  <c r="R4" i="1"/>
  <c r="Q5" i="1"/>
  <c r="R5" i="1" s="1"/>
  <c r="R8" i="1"/>
  <c r="R9" i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R16" i="1"/>
  <c r="R17" i="1"/>
  <c r="Q18" i="1"/>
  <c r="R18" i="1" s="1"/>
  <c r="Q19" i="1"/>
  <c r="R19" i="1" s="1"/>
  <c r="Q20" i="1"/>
  <c r="Q21" i="1"/>
  <c r="R21" i="1" s="1"/>
  <c r="Q22" i="1"/>
  <c r="R22" i="1" s="1"/>
  <c r="R23" i="1"/>
  <c r="Q24" i="1"/>
  <c r="R24" i="1" s="1"/>
  <c r="Q25" i="1"/>
  <c r="R25" i="1" s="1"/>
  <c r="Q26" i="1"/>
  <c r="R26" i="1" s="1"/>
  <c r="R27" i="1"/>
  <c r="R28" i="1"/>
  <c r="Q29" i="1"/>
  <c r="R29" i="1" s="1"/>
  <c r="Q30" i="1"/>
  <c r="R30" i="1" s="1"/>
  <c r="R31" i="1"/>
  <c r="R32" i="1"/>
  <c r="R33" i="1"/>
  <c r="Q34" i="1"/>
  <c r="R34" i="1" s="1"/>
  <c r="Q35" i="1"/>
  <c r="R35" i="1" s="1"/>
  <c r="R36" i="1"/>
  <c r="Q37" i="1"/>
  <c r="R37" i="1" s="1"/>
  <c r="R39" i="1"/>
  <c r="R40" i="1"/>
  <c r="Q41" i="1"/>
  <c r="R41" i="1" s="1"/>
  <c r="Q42" i="1"/>
  <c r="R42" i="1" s="1"/>
  <c r="R43" i="1"/>
  <c r="Q44" i="1"/>
  <c r="R44" i="1" s="1"/>
  <c r="Q45" i="1"/>
  <c r="R45" i="1" s="1"/>
  <c r="R47" i="1"/>
  <c r="R48" i="1"/>
  <c r="R49" i="1"/>
  <c r="R50" i="1"/>
  <c r="R51" i="1"/>
  <c r="R52" i="1"/>
  <c r="Q53" i="1"/>
  <c r="R53" i="1" s="1"/>
  <c r="R54" i="1"/>
  <c r="Q55" i="1"/>
  <c r="R55" i="1" s="1"/>
  <c r="Q2" i="1"/>
  <c r="R2" i="1" s="1"/>
  <c r="Q56" i="1" l="1"/>
  <c r="Q57" i="1" s="1"/>
  <c r="S3" i="1"/>
  <c r="S2" i="1"/>
</calcChain>
</file>

<file path=xl/sharedStrings.xml><?xml version="1.0" encoding="utf-8"?>
<sst xmlns="http://schemas.openxmlformats.org/spreadsheetml/2006/main" count="340" uniqueCount="83">
  <si>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</si>
  <si>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</si>
  <si>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</si>
  <si>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</si>
  <si>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</si>
  <si>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</si>
  <si>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</si>
  <si>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</si>
  <si>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</si>
  <si>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</si>
  <si>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</si>
  <si>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</si>
  <si>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</si>
  <si>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</si>
  <si>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</si>
  <si>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</si>
  <si>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b26645968edf7bf48d50c748e4107fb3</t>
  </si>
  <si>
    <t>787d069f8664c6efc2c87087e15eca28</t>
  </si>
  <si>
    <t>9d716f72748acc7e1841a6526baebf20</t>
  </si>
  <si>
    <t>9a401a5d01d50dd4667da88d3fd2c0d5</t>
  </si>
  <si>
    <t>248d1ebfe78ef5cfe690e8d95677bac1</t>
  </si>
  <si>
    <t>5c6a0c60d6f983cf2b5e02ae26ce5b40</t>
  </si>
  <si>
    <t>VJ Edgecombe</t>
  </si>
  <si>
    <t>Dennis Schroder</t>
  </si>
  <si>
    <t>Rudy Gobert</t>
  </si>
  <si>
    <t>Ryan Rollins</t>
  </si>
  <si>
    <t>Onyeka Okongwu</t>
  </si>
  <si>
    <t>Saddiq Bey</t>
  </si>
  <si>
    <t>Tre Jones</t>
  </si>
  <si>
    <t>Terance Mann</t>
  </si>
  <si>
    <t>Devin Booker</t>
  </si>
  <si>
    <t>Julius Randle</t>
  </si>
  <si>
    <t>Toumani Camara</t>
  </si>
  <si>
    <t>Michael Porter Jr</t>
  </si>
  <si>
    <t>Vit Krejci</t>
  </si>
  <si>
    <t>Egor Demin</t>
  </si>
  <si>
    <t>Anthony Edwards</t>
  </si>
  <si>
    <t>Donte DiVincenzo</t>
  </si>
  <si>
    <t>Maxime Raynaud</t>
  </si>
  <si>
    <t>Dillon Brooks</t>
  </si>
  <si>
    <t>Noah Clowney</t>
  </si>
  <si>
    <t>Jerami Grant</t>
  </si>
  <si>
    <t>Buddy Hield</t>
  </si>
  <si>
    <t>Grayson Allen</t>
  </si>
  <si>
    <t>Dyson Daniels</t>
  </si>
  <si>
    <t>Moses Moody</t>
  </si>
  <si>
    <t>Nikola Vucevic</t>
  </si>
  <si>
    <t>Russell Westbrook</t>
  </si>
  <si>
    <t>Mark Williams</t>
  </si>
  <si>
    <t>Patrick Williams</t>
  </si>
  <si>
    <t>Zaccharie Risacher</t>
  </si>
  <si>
    <t>Quinten Post</t>
  </si>
  <si>
    <t>Nickeil Alexander-Walker</t>
  </si>
  <si>
    <t>Matas Buzelis</t>
  </si>
  <si>
    <t>Myles Turner</t>
  </si>
  <si>
    <t>Kyle Kuzma</t>
  </si>
  <si>
    <t>Deni Avdija</t>
  </si>
  <si>
    <t>Deandre Ayton</t>
  </si>
  <si>
    <t>Jaden McDaniels</t>
  </si>
  <si>
    <t>Jose Alvarado</t>
  </si>
  <si>
    <t>Stephen Curry</t>
  </si>
  <si>
    <t>Royce O'Neale</t>
  </si>
  <si>
    <t>Donovan Clingan</t>
  </si>
  <si>
    <t>Rui Hachimura</t>
  </si>
  <si>
    <t>Zach LaVine</t>
  </si>
  <si>
    <t>rebounds</t>
  </si>
  <si>
    <t>assists</t>
  </si>
  <si>
    <t>points</t>
  </si>
  <si>
    <t>BetMGM</t>
  </si>
  <si>
    <t>BetOnline.ag</t>
  </si>
  <si>
    <t>FanDuel</t>
  </si>
  <si>
    <t>Bovada</t>
  </si>
  <si>
    <t>BetRivers</t>
  </si>
  <si>
    <t>Pinnacle</t>
  </si>
  <si>
    <t>DraftKings</t>
  </si>
  <si>
    <t>Philadelphia 76ers @ Atlanta Hawks</t>
  </si>
  <si>
    <t>Sacramento Kings @ Minnesota Timberwolves</t>
  </si>
  <si>
    <t>Milwaukee Bucks @ Brooklyn Nets</t>
  </si>
  <si>
    <t>New Orleans Pelicans @ Chicago Bulls</t>
  </si>
  <si>
    <t>Los Angeles Lakers @ Phoenix Suns</t>
  </si>
  <si>
    <t>Golden State Warriors @ Portland Trail Blazers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</si>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</sst>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A20" workbookViewId="0">
      <selection activeCell="E56" sqref="E56"/>
    </sheetView>
  </sheetViews>
  <sheetFormatPr baseColWidth="10" defaultColWidth="8.83203125" defaultRowHeight="15" x14ac:dyDescent="0.2"/>
  <cols>
    <col min="2" max="2" width="20.1640625" bestFit="1" customWidth="1"/>
    <col min="7" max="7" width="36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22</v>
      </c>
      <c r="C2" t="s">
        <v>65</v>
      </c>
      <c r="D2">
        <v>4.5</v>
      </c>
      <c r="E2">
        <v>1.95</v>
      </c>
      <c r="F2" t="s">
        <v>68</v>
      </c>
      <c r="G2" t="s">
        <v>75</v>
      </c>
      <c r="H2" t="s">
        <v>81</v>
      </c>
      <c r="I2">
        <v>5.7</v>
      </c>
      <c r="J2">
        <v>95.7</v>
      </c>
      <c r="K2">
        <v>44.5</v>
      </c>
      <c r="L2">
        <v>0.86699999999999999</v>
      </c>
      <c r="M2">
        <v>0.95</v>
      </c>
      <c r="N2">
        <v>26.9</v>
      </c>
      <c r="O2">
        <v>5</v>
      </c>
      <c r="P2">
        <v>50</v>
      </c>
      <c r="Q2">
        <f>P2*E2-P2</f>
        <v>47.5</v>
      </c>
      <c r="R2" t="str">
        <f>IF(Q2=-50,"LOSE","WIN")</f>
        <v>WIN</v>
      </c>
      <c r="S2">
        <f>COUNTIF(R2:R55,"WIN")</f>
        <v>26</v>
      </c>
    </row>
    <row r="3" spans="1:19" x14ac:dyDescent="0.2">
      <c r="A3" t="s">
        <v>17</v>
      </c>
      <c r="B3" t="s">
        <v>23</v>
      </c>
      <c r="C3" t="s">
        <v>66</v>
      </c>
      <c r="D3">
        <v>4.5</v>
      </c>
      <c r="E3">
        <v>1.92</v>
      </c>
      <c r="F3" t="s">
        <v>69</v>
      </c>
      <c r="G3" t="s">
        <v>76</v>
      </c>
      <c r="H3" t="s">
        <v>81</v>
      </c>
      <c r="I3">
        <v>6.4</v>
      </c>
      <c r="J3">
        <v>96.4</v>
      </c>
      <c r="K3">
        <v>44.3</v>
      </c>
      <c r="L3">
        <v>0.85099999999999998</v>
      </c>
      <c r="M3">
        <v>0.76</v>
      </c>
      <c r="N3">
        <v>42</v>
      </c>
      <c r="O3">
        <v>10.5</v>
      </c>
      <c r="P3">
        <v>50</v>
      </c>
      <c r="Q3">
        <v>-50</v>
      </c>
      <c r="R3" t="str">
        <f t="shared" ref="R3:R55" si="0">IF(Q3=-50,"LOSE","WIN")</f>
        <v>LOSE</v>
      </c>
      <c r="S3">
        <f>COUNTIF(R2:R55,"LOSE")</f>
        <v>27</v>
      </c>
    </row>
    <row r="4" spans="1:19" x14ac:dyDescent="0.2">
      <c r="A4" t="s">
        <v>17</v>
      </c>
      <c r="B4" t="s">
        <v>24</v>
      </c>
      <c r="C4" t="s">
        <v>65</v>
      </c>
      <c r="D4">
        <v>11.5</v>
      </c>
      <c r="E4">
        <v>1.85</v>
      </c>
      <c r="F4" t="s">
        <v>68</v>
      </c>
      <c r="G4" t="s">
        <v>76</v>
      </c>
      <c r="H4" t="s">
        <v>82</v>
      </c>
      <c r="I4">
        <v>8.9</v>
      </c>
      <c r="J4">
        <v>97.6</v>
      </c>
      <c r="K4">
        <v>43.5</v>
      </c>
      <c r="L4">
        <v>0.80500000000000005</v>
      </c>
      <c r="M4">
        <v>0.78</v>
      </c>
      <c r="N4">
        <v>-22.9</v>
      </c>
      <c r="O4">
        <v>10.5</v>
      </c>
      <c r="P4">
        <v>50</v>
      </c>
      <c r="Q4">
        <v>-50</v>
      </c>
      <c r="R4" t="str">
        <f t="shared" si="0"/>
        <v>LOSE</v>
      </c>
    </row>
    <row r="5" spans="1:19" x14ac:dyDescent="0.2">
      <c r="A5" t="s">
        <v>18</v>
      </c>
      <c r="B5" t="s">
        <v>25</v>
      </c>
      <c r="C5" t="s">
        <v>67</v>
      </c>
      <c r="D5">
        <v>17.5</v>
      </c>
      <c r="E5">
        <v>2</v>
      </c>
      <c r="F5" t="s">
        <v>70</v>
      </c>
      <c r="G5" t="s">
        <v>77</v>
      </c>
      <c r="H5" t="s">
        <v>82</v>
      </c>
      <c r="I5">
        <v>14.4</v>
      </c>
      <c r="J5">
        <v>89.9</v>
      </c>
      <c r="K5">
        <v>39.9</v>
      </c>
      <c r="L5">
        <v>0.79900000000000004</v>
      </c>
      <c r="M5">
        <v>0.86</v>
      </c>
      <c r="N5">
        <v>-17.8</v>
      </c>
      <c r="O5">
        <v>1.5</v>
      </c>
      <c r="P5">
        <v>50</v>
      </c>
      <c r="Q5">
        <f t="shared" ref="Q5:Q55" si="1">P5*E5-P5</f>
        <v>50</v>
      </c>
      <c r="R5" t="str">
        <f t="shared" si="0"/>
        <v>WIN</v>
      </c>
    </row>
    <row r="6" spans="1:19" x14ac:dyDescent="0.2">
      <c r="A6" t="s">
        <v>16</v>
      </c>
      <c r="B6" t="s">
        <v>26</v>
      </c>
      <c r="C6" t="s">
        <v>67</v>
      </c>
      <c r="D6">
        <v>17.5</v>
      </c>
      <c r="E6">
        <v>2.0499999999999998</v>
      </c>
      <c r="F6" t="s">
        <v>71</v>
      </c>
      <c r="G6" t="s">
        <v>75</v>
      </c>
      <c r="H6" t="s">
        <v>82</v>
      </c>
      <c r="I6">
        <v>14.9</v>
      </c>
      <c r="J6">
        <v>87.2</v>
      </c>
      <c r="K6">
        <v>38.4</v>
      </c>
      <c r="L6">
        <v>0.78700000000000003</v>
      </c>
      <c r="M6">
        <v>0.82</v>
      </c>
      <c r="N6">
        <v>-14.6</v>
      </c>
      <c r="O6">
        <v>5</v>
      </c>
      <c r="P6">
        <v>50</v>
      </c>
      <c r="Q6">
        <v>-50</v>
      </c>
      <c r="R6" t="str">
        <f t="shared" si="0"/>
        <v>LOSE</v>
      </c>
    </row>
    <row r="7" spans="1:19" x14ac:dyDescent="0.2">
      <c r="A7" t="s">
        <v>16</v>
      </c>
      <c r="B7" t="s">
        <v>26</v>
      </c>
      <c r="C7" t="s">
        <v>65</v>
      </c>
      <c r="D7">
        <v>7.5</v>
      </c>
      <c r="E7">
        <v>2.1</v>
      </c>
      <c r="F7" t="s">
        <v>68</v>
      </c>
      <c r="G7" t="s">
        <v>75</v>
      </c>
      <c r="H7" t="s">
        <v>82</v>
      </c>
      <c r="I7">
        <v>6.4</v>
      </c>
      <c r="J7">
        <v>84</v>
      </c>
      <c r="K7">
        <v>36.4</v>
      </c>
      <c r="L7">
        <v>0.76400000000000001</v>
      </c>
      <c r="M7">
        <v>0.89</v>
      </c>
      <c r="N7">
        <v>-14.8</v>
      </c>
      <c r="O7">
        <v>5</v>
      </c>
      <c r="P7">
        <v>50</v>
      </c>
      <c r="Q7">
        <v>-50</v>
      </c>
      <c r="R7" t="str">
        <f t="shared" si="0"/>
        <v>LOSE</v>
      </c>
    </row>
    <row r="8" spans="1:19" x14ac:dyDescent="0.2">
      <c r="A8" t="s">
        <v>19</v>
      </c>
      <c r="B8" t="s">
        <v>27</v>
      </c>
      <c r="C8" t="s">
        <v>67</v>
      </c>
      <c r="D8">
        <v>11.5</v>
      </c>
      <c r="E8">
        <v>1.87</v>
      </c>
      <c r="F8" t="s">
        <v>70</v>
      </c>
      <c r="G8" t="s">
        <v>78</v>
      </c>
      <c r="H8" t="s">
        <v>81</v>
      </c>
      <c r="I8">
        <v>14.6</v>
      </c>
      <c r="J8">
        <v>93.5</v>
      </c>
      <c r="K8">
        <v>40</v>
      </c>
      <c r="L8">
        <v>0.748</v>
      </c>
      <c r="M8">
        <v>0.95</v>
      </c>
      <c r="N8">
        <v>27.2</v>
      </c>
      <c r="O8">
        <v>4</v>
      </c>
      <c r="P8">
        <v>50</v>
      </c>
      <c r="Q8">
        <v>-50</v>
      </c>
      <c r="R8" t="str">
        <f t="shared" si="0"/>
        <v>LOSE</v>
      </c>
    </row>
    <row r="9" spans="1:19" x14ac:dyDescent="0.2">
      <c r="A9" t="s">
        <v>19</v>
      </c>
      <c r="B9" t="s">
        <v>28</v>
      </c>
      <c r="C9" t="s">
        <v>67</v>
      </c>
      <c r="D9">
        <v>11.5</v>
      </c>
      <c r="E9">
        <v>2.02</v>
      </c>
      <c r="F9" t="s">
        <v>72</v>
      </c>
      <c r="G9" t="s">
        <v>78</v>
      </c>
      <c r="H9" t="s">
        <v>81</v>
      </c>
      <c r="I9">
        <v>13.2</v>
      </c>
      <c r="J9">
        <v>86.5</v>
      </c>
      <c r="K9">
        <v>37</v>
      </c>
      <c r="L9">
        <v>0.748</v>
      </c>
      <c r="M9">
        <v>0.89</v>
      </c>
      <c r="N9">
        <v>14.9</v>
      </c>
      <c r="O9">
        <v>4</v>
      </c>
      <c r="P9">
        <v>50</v>
      </c>
      <c r="Q9">
        <v>-50</v>
      </c>
      <c r="R9" t="str">
        <f t="shared" si="0"/>
        <v>LOSE</v>
      </c>
    </row>
    <row r="10" spans="1:19" x14ac:dyDescent="0.2">
      <c r="A10" t="s">
        <v>18</v>
      </c>
      <c r="B10" t="s">
        <v>29</v>
      </c>
      <c r="C10" t="s">
        <v>67</v>
      </c>
      <c r="D10">
        <v>8.5</v>
      </c>
      <c r="E10">
        <v>2.02</v>
      </c>
      <c r="F10" t="s">
        <v>73</v>
      </c>
      <c r="G10" t="s">
        <v>77</v>
      </c>
      <c r="H10" t="s">
        <v>81</v>
      </c>
      <c r="I10">
        <v>10.4</v>
      </c>
      <c r="J10">
        <v>86.5</v>
      </c>
      <c r="K10">
        <v>37</v>
      </c>
      <c r="L10">
        <v>0.747</v>
      </c>
      <c r="M10">
        <v>0.92</v>
      </c>
      <c r="N10">
        <v>22.5</v>
      </c>
      <c r="O10">
        <v>1.5</v>
      </c>
      <c r="P10">
        <v>50</v>
      </c>
      <c r="Q10">
        <f t="shared" si="1"/>
        <v>51</v>
      </c>
      <c r="R10" t="str">
        <f t="shared" si="0"/>
        <v>WIN</v>
      </c>
    </row>
    <row r="11" spans="1:19" x14ac:dyDescent="0.2">
      <c r="A11" t="s">
        <v>20</v>
      </c>
      <c r="B11" t="s">
        <v>30</v>
      </c>
      <c r="C11" t="s">
        <v>67</v>
      </c>
      <c r="D11">
        <v>21.5</v>
      </c>
      <c r="E11">
        <v>1.93</v>
      </c>
      <c r="F11" t="s">
        <v>70</v>
      </c>
      <c r="G11" t="s">
        <v>79</v>
      </c>
      <c r="H11" t="s">
        <v>81</v>
      </c>
      <c r="I11">
        <v>24.8</v>
      </c>
      <c r="J11">
        <v>90.5</v>
      </c>
      <c r="K11">
        <v>38.700000000000003</v>
      </c>
      <c r="L11">
        <v>0.747</v>
      </c>
      <c r="M11">
        <v>0.89</v>
      </c>
      <c r="N11">
        <v>15.5</v>
      </c>
      <c r="O11">
        <v>1.5</v>
      </c>
      <c r="P11">
        <v>50</v>
      </c>
      <c r="Q11">
        <f t="shared" si="1"/>
        <v>46.5</v>
      </c>
      <c r="R11" t="str">
        <f t="shared" si="0"/>
        <v>WIN</v>
      </c>
    </row>
    <row r="12" spans="1:19" x14ac:dyDescent="0.2">
      <c r="A12" t="s">
        <v>17</v>
      </c>
      <c r="B12" t="s">
        <v>24</v>
      </c>
      <c r="C12" t="s">
        <v>67</v>
      </c>
      <c r="D12">
        <v>13.5</v>
      </c>
      <c r="E12">
        <v>1.83</v>
      </c>
      <c r="F12" t="s">
        <v>74</v>
      </c>
      <c r="G12" t="s">
        <v>76</v>
      </c>
      <c r="H12" t="s">
        <v>82</v>
      </c>
      <c r="I12">
        <v>10.199999999999999</v>
      </c>
      <c r="J12">
        <v>95.2</v>
      </c>
      <c r="K12">
        <v>40.5</v>
      </c>
      <c r="L12">
        <v>0.74199999999999999</v>
      </c>
      <c r="M12">
        <v>0.84</v>
      </c>
      <c r="N12">
        <v>-24.4</v>
      </c>
      <c r="O12">
        <v>10.5</v>
      </c>
      <c r="P12">
        <v>50</v>
      </c>
      <c r="Q12">
        <f t="shared" si="1"/>
        <v>41.5</v>
      </c>
      <c r="R12" t="str">
        <f t="shared" si="0"/>
        <v>WIN</v>
      </c>
    </row>
    <row r="13" spans="1:19" x14ac:dyDescent="0.2">
      <c r="A13" t="s">
        <v>17</v>
      </c>
      <c r="B13" t="s">
        <v>31</v>
      </c>
      <c r="C13" t="s">
        <v>67</v>
      </c>
      <c r="D13">
        <v>25.5</v>
      </c>
      <c r="E13">
        <v>1.87</v>
      </c>
      <c r="F13" t="s">
        <v>69</v>
      </c>
      <c r="G13" t="s">
        <v>76</v>
      </c>
      <c r="H13" t="s">
        <v>82</v>
      </c>
      <c r="I13">
        <v>22.7</v>
      </c>
      <c r="J13">
        <v>92.4</v>
      </c>
      <c r="K13">
        <v>38.9</v>
      </c>
      <c r="L13">
        <v>0.72799999999999998</v>
      </c>
      <c r="M13">
        <v>0.95</v>
      </c>
      <c r="N13">
        <v>-11.1</v>
      </c>
      <c r="O13">
        <v>10.5</v>
      </c>
      <c r="P13">
        <v>50</v>
      </c>
      <c r="Q13">
        <f t="shared" si="1"/>
        <v>43.5</v>
      </c>
      <c r="R13" t="str">
        <f t="shared" si="0"/>
        <v>WIN</v>
      </c>
    </row>
    <row r="14" spans="1:19" x14ac:dyDescent="0.2">
      <c r="A14" t="s">
        <v>21</v>
      </c>
      <c r="B14" t="s">
        <v>32</v>
      </c>
      <c r="C14" t="s">
        <v>66</v>
      </c>
      <c r="D14">
        <v>2.5</v>
      </c>
      <c r="E14">
        <v>1.98</v>
      </c>
      <c r="F14" t="s">
        <v>70</v>
      </c>
      <c r="G14" t="s">
        <v>80</v>
      </c>
      <c r="H14" t="s">
        <v>81</v>
      </c>
      <c r="I14">
        <v>3.1</v>
      </c>
      <c r="J14">
        <v>86.8</v>
      </c>
      <c r="K14">
        <v>36.299999999999997</v>
      </c>
      <c r="L14">
        <v>0.71899999999999997</v>
      </c>
      <c r="M14">
        <v>0.79</v>
      </c>
      <c r="N14">
        <v>23.6</v>
      </c>
      <c r="O14">
        <v>4.5</v>
      </c>
      <c r="P14">
        <v>50</v>
      </c>
      <c r="Q14">
        <f t="shared" si="1"/>
        <v>49</v>
      </c>
      <c r="R14" t="str">
        <f t="shared" si="0"/>
        <v>WIN</v>
      </c>
    </row>
    <row r="15" spans="1:19" x14ac:dyDescent="0.2">
      <c r="A15" t="s">
        <v>18</v>
      </c>
      <c r="B15" t="s">
        <v>33</v>
      </c>
      <c r="C15" t="s">
        <v>67</v>
      </c>
      <c r="D15">
        <v>27.5</v>
      </c>
      <c r="E15">
        <v>1.81</v>
      </c>
      <c r="F15" t="s">
        <v>69</v>
      </c>
      <c r="G15" t="s">
        <v>77</v>
      </c>
      <c r="H15" t="s">
        <v>82</v>
      </c>
      <c r="I15">
        <v>23.9</v>
      </c>
      <c r="J15">
        <v>94.5</v>
      </c>
      <c r="K15">
        <v>39.299999999999997</v>
      </c>
      <c r="L15">
        <v>0.71</v>
      </c>
      <c r="M15">
        <v>0.95</v>
      </c>
      <c r="N15">
        <v>-13.2</v>
      </c>
      <c r="O15">
        <v>1.5</v>
      </c>
      <c r="P15">
        <v>50</v>
      </c>
      <c r="Q15">
        <f t="shared" si="1"/>
        <v>40.5</v>
      </c>
      <c r="R15" t="str">
        <f t="shared" si="0"/>
        <v>WIN</v>
      </c>
    </row>
    <row r="16" spans="1:19" x14ac:dyDescent="0.2">
      <c r="A16" t="s">
        <v>18</v>
      </c>
      <c r="B16" t="s">
        <v>25</v>
      </c>
      <c r="C16" t="s">
        <v>66</v>
      </c>
      <c r="D16">
        <v>6.5</v>
      </c>
      <c r="E16">
        <v>2.1</v>
      </c>
      <c r="F16" t="s">
        <v>71</v>
      </c>
      <c r="G16" t="s">
        <v>77</v>
      </c>
      <c r="H16" t="s">
        <v>81</v>
      </c>
      <c r="I16">
        <v>7.2</v>
      </c>
      <c r="J16">
        <v>80.5</v>
      </c>
      <c r="K16">
        <v>32.799999999999997</v>
      </c>
      <c r="L16">
        <v>0.69</v>
      </c>
      <c r="M16">
        <v>0.92</v>
      </c>
      <c r="N16">
        <v>10.6</v>
      </c>
      <c r="O16">
        <v>1.5</v>
      </c>
      <c r="P16">
        <v>50</v>
      </c>
      <c r="Q16">
        <v>-50</v>
      </c>
      <c r="R16" t="str">
        <f t="shared" si="0"/>
        <v>LOSE</v>
      </c>
    </row>
    <row r="17" spans="1:18" x14ac:dyDescent="0.2">
      <c r="A17" t="s">
        <v>16</v>
      </c>
      <c r="B17" t="s">
        <v>34</v>
      </c>
      <c r="C17" t="s">
        <v>65</v>
      </c>
      <c r="D17">
        <v>2.5</v>
      </c>
      <c r="E17">
        <v>1.76</v>
      </c>
      <c r="F17" t="s">
        <v>69</v>
      </c>
      <c r="G17" t="s">
        <v>75</v>
      </c>
      <c r="H17" t="s">
        <v>82</v>
      </c>
      <c r="I17">
        <v>1.9</v>
      </c>
      <c r="J17">
        <v>94</v>
      </c>
      <c r="K17">
        <v>37.200000000000003</v>
      </c>
      <c r="L17">
        <v>0.65500000000000003</v>
      </c>
      <c r="M17">
        <v>0.81</v>
      </c>
      <c r="N17">
        <v>-24.4</v>
      </c>
      <c r="O17">
        <v>5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18</v>
      </c>
      <c r="B18" t="s">
        <v>35</v>
      </c>
      <c r="C18" t="s">
        <v>66</v>
      </c>
      <c r="D18">
        <v>4.5</v>
      </c>
      <c r="E18">
        <v>1.67</v>
      </c>
      <c r="F18" t="s">
        <v>68</v>
      </c>
      <c r="G18" t="s">
        <v>77</v>
      </c>
      <c r="H18" t="s">
        <v>82</v>
      </c>
      <c r="I18">
        <v>3.3</v>
      </c>
      <c r="J18">
        <v>98.7</v>
      </c>
      <c r="K18">
        <v>38.799999999999997</v>
      </c>
      <c r="L18">
        <v>0.64800000000000002</v>
      </c>
      <c r="M18">
        <v>0.95</v>
      </c>
      <c r="N18">
        <v>-26</v>
      </c>
      <c r="O18">
        <v>1.5</v>
      </c>
      <c r="P18">
        <v>50</v>
      </c>
      <c r="Q18">
        <f t="shared" si="1"/>
        <v>33.5</v>
      </c>
      <c r="R18" t="str">
        <f t="shared" si="0"/>
        <v>WIN</v>
      </c>
    </row>
    <row r="19" spans="1:18" x14ac:dyDescent="0.2">
      <c r="A19" t="s">
        <v>18</v>
      </c>
      <c r="B19" t="s">
        <v>33</v>
      </c>
      <c r="C19" t="s">
        <v>66</v>
      </c>
      <c r="D19">
        <v>2.5</v>
      </c>
      <c r="E19">
        <v>1.78</v>
      </c>
      <c r="F19" t="s">
        <v>72</v>
      </c>
      <c r="G19" t="s">
        <v>77</v>
      </c>
      <c r="H19" t="s">
        <v>81</v>
      </c>
      <c r="I19">
        <v>3.5</v>
      </c>
      <c r="J19">
        <v>92.5</v>
      </c>
      <c r="K19">
        <v>36.299999999999997</v>
      </c>
      <c r="L19">
        <v>0.64700000000000002</v>
      </c>
      <c r="M19">
        <v>0.8</v>
      </c>
      <c r="N19">
        <v>38.799999999999997</v>
      </c>
      <c r="O19">
        <v>1.5</v>
      </c>
      <c r="P19">
        <v>50</v>
      </c>
      <c r="Q19">
        <f t="shared" si="1"/>
        <v>39</v>
      </c>
      <c r="R19" t="str">
        <f t="shared" si="0"/>
        <v>WIN</v>
      </c>
    </row>
    <row r="20" spans="1:18" x14ac:dyDescent="0.2">
      <c r="A20" t="s">
        <v>17</v>
      </c>
      <c r="B20" t="s">
        <v>36</v>
      </c>
      <c r="C20" t="s">
        <v>66</v>
      </c>
      <c r="D20">
        <v>4.5</v>
      </c>
      <c r="E20">
        <v>1.77</v>
      </c>
      <c r="F20" t="s">
        <v>71</v>
      </c>
      <c r="G20" t="s">
        <v>76</v>
      </c>
      <c r="H20" t="s">
        <v>82</v>
      </c>
      <c r="I20">
        <v>3.6</v>
      </c>
      <c r="J20">
        <v>91</v>
      </c>
      <c r="K20">
        <v>34.5</v>
      </c>
      <c r="L20">
        <v>0.61099999999999999</v>
      </c>
      <c r="M20">
        <v>0.79</v>
      </c>
      <c r="N20">
        <v>-19.3</v>
      </c>
      <c r="O20">
        <v>10.5</v>
      </c>
      <c r="P20">
        <v>0</v>
      </c>
      <c r="Q20">
        <f t="shared" si="1"/>
        <v>0</v>
      </c>
    </row>
    <row r="21" spans="1:18" x14ac:dyDescent="0.2">
      <c r="A21" t="s">
        <v>17</v>
      </c>
      <c r="B21" t="s">
        <v>37</v>
      </c>
      <c r="C21" t="s">
        <v>66</v>
      </c>
      <c r="D21">
        <v>3.5</v>
      </c>
      <c r="E21">
        <v>1.83</v>
      </c>
      <c r="F21" t="s">
        <v>71</v>
      </c>
      <c r="G21" t="s">
        <v>76</v>
      </c>
      <c r="H21" t="s">
        <v>81</v>
      </c>
      <c r="I21">
        <v>4.2</v>
      </c>
      <c r="J21">
        <v>87.6</v>
      </c>
      <c r="K21">
        <v>32.9</v>
      </c>
      <c r="L21">
        <v>0.60199999999999998</v>
      </c>
      <c r="M21">
        <v>0.87</v>
      </c>
      <c r="N21">
        <v>18.899999999999999</v>
      </c>
      <c r="O21">
        <v>10.5</v>
      </c>
      <c r="P21">
        <v>50</v>
      </c>
      <c r="Q21">
        <f t="shared" si="1"/>
        <v>41.5</v>
      </c>
      <c r="R21" t="str">
        <f t="shared" si="0"/>
        <v>WIN</v>
      </c>
    </row>
    <row r="22" spans="1:18" x14ac:dyDescent="0.2">
      <c r="A22" t="s">
        <v>17</v>
      </c>
      <c r="B22" t="s">
        <v>38</v>
      </c>
      <c r="C22" t="s">
        <v>66</v>
      </c>
      <c r="D22">
        <v>1.5</v>
      </c>
      <c r="E22">
        <v>1.65</v>
      </c>
      <c r="F22" t="s">
        <v>68</v>
      </c>
      <c r="G22" t="s">
        <v>76</v>
      </c>
      <c r="H22" t="s">
        <v>82</v>
      </c>
      <c r="I22">
        <v>0.8</v>
      </c>
      <c r="J22">
        <v>97.1</v>
      </c>
      <c r="K22">
        <v>36.4</v>
      </c>
      <c r="L22">
        <v>0.60099999999999998</v>
      </c>
      <c r="M22">
        <v>0.86</v>
      </c>
      <c r="N22">
        <v>-44</v>
      </c>
      <c r="O22">
        <v>10.5</v>
      </c>
      <c r="P22">
        <v>50</v>
      </c>
      <c r="Q22">
        <f t="shared" si="1"/>
        <v>32.5</v>
      </c>
      <c r="R22" t="str">
        <f t="shared" si="0"/>
        <v>WIN</v>
      </c>
    </row>
    <row r="23" spans="1:18" x14ac:dyDescent="0.2">
      <c r="A23" t="s">
        <v>20</v>
      </c>
      <c r="B23" t="s">
        <v>39</v>
      </c>
      <c r="C23" t="s">
        <v>65</v>
      </c>
      <c r="D23">
        <v>2.5</v>
      </c>
      <c r="E23">
        <v>1.61</v>
      </c>
      <c r="F23" t="s">
        <v>74</v>
      </c>
      <c r="G23" t="s">
        <v>79</v>
      </c>
      <c r="H23" t="s">
        <v>81</v>
      </c>
      <c r="I23">
        <v>3.4</v>
      </c>
      <c r="J23">
        <v>99.1</v>
      </c>
      <c r="K23">
        <v>37</v>
      </c>
      <c r="L23">
        <v>0.59499999999999997</v>
      </c>
      <c r="M23">
        <v>0.95</v>
      </c>
      <c r="N23">
        <v>37.200000000000003</v>
      </c>
      <c r="O23">
        <v>1.5</v>
      </c>
      <c r="P23">
        <v>50</v>
      </c>
      <c r="Q23">
        <v>-50</v>
      </c>
      <c r="R23" t="str">
        <f t="shared" si="0"/>
        <v>LOSE</v>
      </c>
    </row>
    <row r="24" spans="1:18" x14ac:dyDescent="0.2">
      <c r="A24" t="s">
        <v>18</v>
      </c>
      <c r="B24" t="s">
        <v>40</v>
      </c>
      <c r="C24" t="s">
        <v>66</v>
      </c>
      <c r="D24">
        <v>1.5</v>
      </c>
      <c r="E24">
        <v>1.62</v>
      </c>
      <c r="F24" t="s">
        <v>68</v>
      </c>
      <c r="G24" t="s">
        <v>77</v>
      </c>
      <c r="H24" t="s">
        <v>81</v>
      </c>
      <c r="I24">
        <v>2.2000000000000002</v>
      </c>
      <c r="J24">
        <v>95.5</v>
      </c>
      <c r="K24">
        <v>33.799999999999997</v>
      </c>
      <c r="L24">
        <v>0.54700000000000004</v>
      </c>
      <c r="M24">
        <v>0.81</v>
      </c>
      <c r="N24">
        <v>50</v>
      </c>
      <c r="O24">
        <v>1.5</v>
      </c>
      <c r="P24">
        <v>50</v>
      </c>
      <c r="Q24">
        <f t="shared" si="1"/>
        <v>31</v>
      </c>
      <c r="R24" t="str">
        <f t="shared" si="0"/>
        <v>WIN</v>
      </c>
    </row>
    <row r="25" spans="1:18" x14ac:dyDescent="0.2">
      <c r="A25" t="s">
        <v>17</v>
      </c>
      <c r="B25" t="s">
        <v>31</v>
      </c>
      <c r="C25" t="s">
        <v>65</v>
      </c>
      <c r="D25">
        <v>6.5</v>
      </c>
      <c r="E25">
        <v>1.62</v>
      </c>
      <c r="F25" t="s">
        <v>71</v>
      </c>
      <c r="G25" t="s">
        <v>76</v>
      </c>
      <c r="H25" t="s">
        <v>81</v>
      </c>
      <c r="I25">
        <v>8.1</v>
      </c>
      <c r="J25">
        <v>94.9</v>
      </c>
      <c r="K25">
        <v>33.1</v>
      </c>
      <c r="L25">
        <v>0.53700000000000003</v>
      </c>
      <c r="M25">
        <v>0.78</v>
      </c>
      <c r="N25">
        <v>25.2</v>
      </c>
      <c r="O25">
        <v>10.5</v>
      </c>
      <c r="P25">
        <v>50</v>
      </c>
      <c r="Q25">
        <f t="shared" si="1"/>
        <v>31</v>
      </c>
      <c r="R25" t="str">
        <f t="shared" si="0"/>
        <v>WIN</v>
      </c>
    </row>
    <row r="26" spans="1:18" x14ac:dyDescent="0.2">
      <c r="A26" t="s">
        <v>21</v>
      </c>
      <c r="B26" t="s">
        <v>41</v>
      </c>
      <c r="C26" t="s">
        <v>67</v>
      </c>
      <c r="D26">
        <v>18.5</v>
      </c>
      <c r="E26">
        <v>1.74</v>
      </c>
      <c r="F26" t="s">
        <v>71</v>
      </c>
      <c r="G26" t="s">
        <v>80</v>
      </c>
      <c r="H26" t="s">
        <v>81</v>
      </c>
      <c r="I26">
        <v>21.4</v>
      </c>
      <c r="J26">
        <v>88.2</v>
      </c>
      <c r="K26">
        <v>30.7</v>
      </c>
      <c r="L26">
        <v>0.53500000000000003</v>
      </c>
      <c r="M26">
        <v>0.95</v>
      </c>
      <c r="N26">
        <v>15.5</v>
      </c>
      <c r="O26">
        <v>4.5</v>
      </c>
      <c r="P26">
        <v>50</v>
      </c>
      <c r="Q26">
        <f t="shared" si="1"/>
        <v>37</v>
      </c>
      <c r="R26" t="str">
        <f t="shared" si="0"/>
        <v>WIN</v>
      </c>
    </row>
    <row r="27" spans="1:18" x14ac:dyDescent="0.2">
      <c r="A27" t="s">
        <v>21</v>
      </c>
      <c r="B27" t="s">
        <v>42</v>
      </c>
      <c r="C27" t="s">
        <v>67</v>
      </c>
      <c r="D27">
        <v>8.5</v>
      </c>
      <c r="E27">
        <v>1.87</v>
      </c>
      <c r="F27" t="s">
        <v>69</v>
      </c>
      <c r="G27" t="s">
        <v>80</v>
      </c>
      <c r="H27" t="s">
        <v>82</v>
      </c>
      <c r="I27">
        <v>6.9</v>
      </c>
      <c r="J27">
        <v>81</v>
      </c>
      <c r="K27">
        <v>27.5</v>
      </c>
      <c r="L27">
        <v>0.51500000000000001</v>
      </c>
      <c r="M27">
        <v>0.92</v>
      </c>
      <c r="N27">
        <v>-18.600000000000001</v>
      </c>
      <c r="O27">
        <v>4.5</v>
      </c>
      <c r="P27">
        <v>50</v>
      </c>
      <c r="Q27">
        <v>-50</v>
      </c>
      <c r="R27" t="str">
        <f t="shared" si="0"/>
        <v>LOSE</v>
      </c>
    </row>
    <row r="28" spans="1:18" x14ac:dyDescent="0.2">
      <c r="A28" t="s">
        <v>20</v>
      </c>
      <c r="B28" t="s">
        <v>43</v>
      </c>
      <c r="C28" t="s">
        <v>67</v>
      </c>
      <c r="D28">
        <v>14.5</v>
      </c>
      <c r="E28">
        <v>1.74</v>
      </c>
      <c r="F28" t="s">
        <v>72</v>
      </c>
      <c r="G28" t="s">
        <v>79</v>
      </c>
      <c r="H28" t="s">
        <v>81</v>
      </c>
      <c r="I28">
        <v>17.3</v>
      </c>
      <c r="J28">
        <v>86.6</v>
      </c>
      <c r="K28">
        <v>29.1</v>
      </c>
      <c r="L28">
        <v>0.50600000000000001</v>
      </c>
      <c r="M28">
        <v>0.91</v>
      </c>
      <c r="N28">
        <v>19.399999999999999</v>
      </c>
      <c r="O28">
        <v>1.5</v>
      </c>
      <c r="P28">
        <v>50</v>
      </c>
      <c r="Q28">
        <v>-50</v>
      </c>
      <c r="R28" t="str">
        <f t="shared" si="0"/>
        <v>LOSE</v>
      </c>
    </row>
    <row r="29" spans="1:18" x14ac:dyDescent="0.2">
      <c r="A29" t="s">
        <v>16</v>
      </c>
      <c r="B29" t="s">
        <v>44</v>
      </c>
      <c r="C29" t="s">
        <v>65</v>
      </c>
      <c r="D29">
        <v>5.5</v>
      </c>
      <c r="E29">
        <v>1.68</v>
      </c>
      <c r="F29" t="s">
        <v>70</v>
      </c>
      <c r="G29" t="s">
        <v>75</v>
      </c>
      <c r="H29" t="s">
        <v>81</v>
      </c>
      <c r="I29">
        <v>6.4</v>
      </c>
      <c r="J29">
        <v>89.5</v>
      </c>
      <c r="K29">
        <v>30</v>
      </c>
      <c r="L29">
        <v>0.504</v>
      </c>
      <c r="M29">
        <v>0.95</v>
      </c>
      <c r="N29">
        <v>17.100000000000001</v>
      </c>
      <c r="O29">
        <v>5</v>
      </c>
      <c r="P29">
        <v>50</v>
      </c>
      <c r="Q29">
        <f t="shared" si="1"/>
        <v>34</v>
      </c>
      <c r="R29" t="str">
        <f t="shared" si="0"/>
        <v>WIN</v>
      </c>
    </row>
    <row r="30" spans="1:18" x14ac:dyDescent="0.2">
      <c r="A30" t="s">
        <v>18</v>
      </c>
      <c r="B30" t="s">
        <v>40</v>
      </c>
      <c r="C30" t="s">
        <v>67</v>
      </c>
      <c r="D30">
        <v>12.5</v>
      </c>
      <c r="E30">
        <v>1.77</v>
      </c>
      <c r="F30" t="s">
        <v>71</v>
      </c>
      <c r="G30" t="s">
        <v>77</v>
      </c>
      <c r="H30" t="s">
        <v>81</v>
      </c>
      <c r="I30">
        <v>15.2</v>
      </c>
      <c r="J30">
        <v>84.5</v>
      </c>
      <c r="K30">
        <v>28</v>
      </c>
      <c r="L30">
        <v>0.496</v>
      </c>
      <c r="M30">
        <v>0.89</v>
      </c>
      <c r="N30">
        <v>21.6</v>
      </c>
      <c r="O30">
        <v>1.5</v>
      </c>
      <c r="P30">
        <v>50</v>
      </c>
      <c r="Q30">
        <f t="shared" si="1"/>
        <v>38.5</v>
      </c>
      <c r="R30" t="str">
        <f t="shared" si="0"/>
        <v>WIN</v>
      </c>
    </row>
    <row r="31" spans="1:18" x14ac:dyDescent="0.2">
      <c r="A31" t="s">
        <v>21</v>
      </c>
      <c r="B31" t="s">
        <v>45</v>
      </c>
      <c r="C31" t="s">
        <v>65</v>
      </c>
      <c r="D31">
        <v>2.5</v>
      </c>
      <c r="E31">
        <v>1.84</v>
      </c>
      <c r="F31" t="s">
        <v>69</v>
      </c>
      <c r="G31" t="s">
        <v>80</v>
      </c>
      <c r="H31" t="s">
        <v>81</v>
      </c>
      <c r="I31">
        <v>2.9</v>
      </c>
      <c r="J31">
        <v>80.5</v>
      </c>
      <c r="K31">
        <v>26.1</v>
      </c>
      <c r="L31">
        <v>0.48099999999999998</v>
      </c>
      <c r="M31">
        <v>0.9</v>
      </c>
      <c r="N31">
        <v>17.600000000000001</v>
      </c>
      <c r="O31">
        <v>4.5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19</v>
      </c>
      <c r="B32" t="s">
        <v>46</v>
      </c>
      <c r="C32" t="s">
        <v>67</v>
      </c>
      <c r="D32">
        <v>14.5</v>
      </c>
      <c r="E32">
        <v>1.77</v>
      </c>
      <c r="F32" t="s">
        <v>72</v>
      </c>
      <c r="G32" t="s">
        <v>78</v>
      </c>
      <c r="H32" t="s">
        <v>81</v>
      </c>
      <c r="I32">
        <v>17</v>
      </c>
      <c r="J32">
        <v>82.8</v>
      </c>
      <c r="K32">
        <v>26.3</v>
      </c>
      <c r="L32">
        <v>0.46600000000000003</v>
      </c>
      <c r="M32">
        <v>0.8</v>
      </c>
      <c r="N32">
        <v>16.899999999999999</v>
      </c>
      <c r="O32">
        <v>4</v>
      </c>
      <c r="P32">
        <v>50</v>
      </c>
      <c r="Q32">
        <v>-50</v>
      </c>
      <c r="R32" t="str">
        <f t="shared" si="0"/>
        <v>LOSE</v>
      </c>
    </row>
    <row r="33" spans="1:18" x14ac:dyDescent="0.2">
      <c r="A33" t="s">
        <v>17</v>
      </c>
      <c r="B33" t="s">
        <v>47</v>
      </c>
      <c r="C33" t="s">
        <v>67</v>
      </c>
      <c r="D33">
        <v>12.5</v>
      </c>
      <c r="E33">
        <v>1.9</v>
      </c>
      <c r="F33" t="s">
        <v>74</v>
      </c>
      <c r="G33" t="s">
        <v>76</v>
      </c>
      <c r="H33" t="s">
        <v>81</v>
      </c>
      <c r="I33">
        <v>14.1</v>
      </c>
      <c r="J33">
        <v>75.400000000000006</v>
      </c>
      <c r="K33">
        <v>22.8</v>
      </c>
      <c r="L33">
        <v>0.432</v>
      </c>
      <c r="M33">
        <v>0.83</v>
      </c>
      <c r="N33">
        <v>12.5</v>
      </c>
      <c r="O33">
        <v>10.5</v>
      </c>
      <c r="P33">
        <v>50</v>
      </c>
      <c r="Q33">
        <v>-50</v>
      </c>
      <c r="R33" t="str">
        <f t="shared" si="0"/>
        <v>LOSE</v>
      </c>
    </row>
    <row r="34" spans="1:18" x14ac:dyDescent="0.2">
      <c r="A34" t="s">
        <v>20</v>
      </c>
      <c r="B34" t="s">
        <v>48</v>
      </c>
      <c r="C34" t="s">
        <v>65</v>
      </c>
      <c r="D34">
        <v>8.5</v>
      </c>
      <c r="E34">
        <v>1.91</v>
      </c>
      <c r="F34" t="s">
        <v>71</v>
      </c>
      <c r="G34" t="s">
        <v>79</v>
      </c>
      <c r="H34" t="s">
        <v>82</v>
      </c>
      <c r="I34">
        <v>7.6</v>
      </c>
      <c r="J34">
        <v>74.8</v>
      </c>
      <c r="K34">
        <v>22.4</v>
      </c>
      <c r="L34">
        <v>0.42899999999999999</v>
      </c>
      <c r="M34">
        <v>0.87</v>
      </c>
      <c r="N34">
        <v>-10.199999999999999</v>
      </c>
      <c r="O34">
        <v>1.5</v>
      </c>
      <c r="P34">
        <v>50</v>
      </c>
      <c r="Q34">
        <f t="shared" si="1"/>
        <v>45.5</v>
      </c>
      <c r="R34" t="str">
        <f t="shared" si="0"/>
        <v>WIN</v>
      </c>
    </row>
    <row r="35" spans="1:18" x14ac:dyDescent="0.2">
      <c r="A35" t="s">
        <v>19</v>
      </c>
      <c r="B35" t="s">
        <v>49</v>
      </c>
      <c r="C35" t="s">
        <v>67</v>
      </c>
      <c r="D35">
        <v>7.5</v>
      </c>
      <c r="E35">
        <v>1.69</v>
      </c>
      <c r="F35" t="s">
        <v>71</v>
      </c>
      <c r="G35" t="s">
        <v>78</v>
      </c>
      <c r="H35" t="s">
        <v>81</v>
      </c>
      <c r="I35">
        <v>8.6999999999999993</v>
      </c>
      <c r="J35">
        <v>83.5</v>
      </c>
      <c r="K35">
        <v>24.3</v>
      </c>
      <c r="L35">
        <v>0.41099999999999998</v>
      </c>
      <c r="M35">
        <v>0.85</v>
      </c>
      <c r="N35">
        <v>16</v>
      </c>
      <c r="O35">
        <v>4</v>
      </c>
      <c r="P35">
        <v>50</v>
      </c>
      <c r="Q35">
        <f t="shared" si="1"/>
        <v>34.5</v>
      </c>
      <c r="R35" t="str">
        <f t="shared" si="0"/>
        <v>WIN</v>
      </c>
    </row>
    <row r="36" spans="1:18" x14ac:dyDescent="0.2">
      <c r="A36" t="s">
        <v>16</v>
      </c>
      <c r="B36" t="s">
        <v>50</v>
      </c>
      <c r="C36" t="s">
        <v>65</v>
      </c>
      <c r="D36">
        <v>2.5</v>
      </c>
      <c r="E36">
        <v>1.62</v>
      </c>
      <c r="F36" t="s">
        <v>74</v>
      </c>
      <c r="G36" t="s">
        <v>75</v>
      </c>
      <c r="H36" t="s">
        <v>81</v>
      </c>
      <c r="I36">
        <v>3.1</v>
      </c>
      <c r="J36">
        <v>87</v>
      </c>
      <c r="K36">
        <v>25.3</v>
      </c>
      <c r="L36">
        <v>0.41</v>
      </c>
      <c r="M36">
        <v>0.8</v>
      </c>
      <c r="N36">
        <v>22.8</v>
      </c>
      <c r="O36">
        <v>5</v>
      </c>
      <c r="P36">
        <v>50</v>
      </c>
      <c r="Q36">
        <v>-50</v>
      </c>
      <c r="R36" t="str">
        <f t="shared" si="0"/>
        <v>LOSE</v>
      </c>
    </row>
    <row r="37" spans="1:18" x14ac:dyDescent="0.2">
      <c r="A37" t="s">
        <v>21</v>
      </c>
      <c r="B37" t="s">
        <v>51</v>
      </c>
      <c r="C37" t="s">
        <v>67</v>
      </c>
      <c r="D37">
        <v>8.5</v>
      </c>
      <c r="E37">
        <v>1.81</v>
      </c>
      <c r="F37" t="s">
        <v>74</v>
      </c>
      <c r="G37" t="s">
        <v>80</v>
      </c>
      <c r="H37" t="s">
        <v>81</v>
      </c>
      <c r="I37">
        <v>10.1</v>
      </c>
      <c r="J37">
        <v>77.7</v>
      </c>
      <c r="K37">
        <v>22.5</v>
      </c>
      <c r="L37">
        <v>0.40699999999999997</v>
      </c>
      <c r="M37">
        <v>0.83</v>
      </c>
      <c r="N37">
        <v>18.8</v>
      </c>
      <c r="O37">
        <v>4.5</v>
      </c>
      <c r="P37">
        <v>50</v>
      </c>
      <c r="Q37">
        <f t="shared" si="1"/>
        <v>40.5</v>
      </c>
      <c r="R37" t="str">
        <f t="shared" si="0"/>
        <v>WIN</v>
      </c>
    </row>
    <row r="38" spans="1:18" x14ac:dyDescent="0.2">
      <c r="A38" t="s">
        <v>16</v>
      </c>
      <c r="B38" t="s">
        <v>52</v>
      </c>
      <c r="C38" t="s">
        <v>67</v>
      </c>
      <c r="D38">
        <v>18.5</v>
      </c>
      <c r="E38">
        <v>1.6</v>
      </c>
      <c r="F38" t="s">
        <v>72</v>
      </c>
      <c r="G38" t="s">
        <v>75</v>
      </c>
      <c r="H38" t="s">
        <v>81</v>
      </c>
      <c r="I38">
        <v>21.4</v>
      </c>
      <c r="J38">
        <v>87.9</v>
      </c>
      <c r="K38">
        <v>25.4</v>
      </c>
      <c r="L38">
        <v>0.40600000000000003</v>
      </c>
      <c r="M38">
        <v>0.91</v>
      </c>
      <c r="N38">
        <v>15.9</v>
      </c>
      <c r="O38">
        <v>5</v>
      </c>
      <c r="P38">
        <v>50</v>
      </c>
      <c r="Q38">
        <v>-50</v>
      </c>
      <c r="R38" t="str">
        <f t="shared" si="0"/>
        <v>LOSE</v>
      </c>
    </row>
    <row r="39" spans="1:18" x14ac:dyDescent="0.2">
      <c r="A39" t="s">
        <v>19</v>
      </c>
      <c r="B39" t="s">
        <v>53</v>
      </c>
      <c r="C39" t="s">
        <v>66</v>
      </c>
      <c r="D39">
        <v>1.5</v>
      </c>
      <c r="E39">
        <v>1.9</v>
      </c>
      <c r="F39" t="s">
        <v>74</v>
      </c>
      <c r="G39" t="s">
        <v>78</v>
      </c>
      <c r="H39" t="s">
        <v>82</v>
      </c>
      <c r="I39">
        <v>1.2</v>
      </c>
      <c r="J39">
        <v>73.3</v>
      </c>
      <c r="K39">
        <v>20.6</v>
      </c>
      <c r="L39">
        <v>0.39200000000000002</v>
      </c>
      <c r="M39">
        <v>0.84</v>
      </c>
      <c r="N39">
        <v>-16.7</v>
      </c>
      <c r="O39">
        <v>4</v>
      </c>
      <c r="P39">
        <v>50</v>
      </c>
      <c r="Q39">
        <v>-50</v>
      </c>
      <c r="R39" t="str">
        <f t="shared" si="0"/>
        <v>LOSE</v>
      </c>
    </row>
    <row r="40" spans="1:18" x14ac:dyDescent="0.2">
      <c r="A40" t="s">
        <v>18</v>
      </c>
      <c r="B40" t="s">
        <v>54</v>
      </c>
      <c r="C40" t="s">
        <v>67</v>
      </c>
      <c r="D40">
        <v>11.5</v>
      </c>
      <c r="E40">
        <v>1.74</v>
      </c>
      <c r="F40" t="s">
        <v>71</v>
      </c>
      <c r="G40" t="s">
        <v>77</v>
      </c>
      <c r="H40" t="s">
        <v>81</v>
      </c>
      <c r="I40">
        <v>13.1</v>
      </c>
      <c r="J40">
        <v>80</v>
      </c>
      <c r="K40">
        <v>22.5</v>
      </c>
      <c r="L40">
        <v>0.39100000000000001</v>
      </c>
      <c r="M40">
        <v>0.9</v>
      </c>
      <c r="N40">
        <v>13.7</v>
      </c>
      <c r="O40">
        <v>1.5</v>
      </c>
      <c r="P40">
        <v>50</v>
      </c>
      <c r="Q40">
        <v>-50</v>
      </c>
      <c r="R40" t="str">
        <f t="shared" si="0"/>
        <v>LOSE</v>
      </c>
    </row>
    <row r="41" spans="1:18" x14ac:dyDescent="0.2">
      <c r="A41" t="s">
        <v>18</v>
      </c>
      <c r="B41" t="s">
        <v>55</v>
      </c>
      <c r="C41" t="s">
        <v>67</v>
      </c>
      <c r="D41">
        <v>16.5</v>
      </c>
      <c r="E41">
        <v>1.77</v>
      </c>
      <c r="F41" t="s">
        <v>69</v>
      </c>
      <c r="G41" t="s">
        <v>77</v>
      </c>
      <c r="H41" t="s">
        <v>82</v>
      </c>
      <c r="I41">
        <v>14.5</v>
      </c>
      <c r="J41">
        <v>78.5</v>
      </c>
      <c r="K41">
        <v>22</v>
      </c>
      <c r="L41">
        <v>0.39</v>
      </c>
      <c r="M41">
        <v>0.88</v>
      </c>
      <c r="N41">
        <v>-12.4</v>
      </c>
      <c r="O41">
        <v>1.5</v>
      </c>
      <c r="P41">
        <v>50</v>
      </c>
      <c r="Q41">
        <f t="shared" si="1"/>
        <v>38.5</v>
      </c>
      <c r="R41" t="str">
        <f t="shared" si="0"/>
        <v>WIN</v>
      </c>
    </row>
    <row r="42" spans="1:18" x14ac:dyDescent="0.2">
      <c r="A42" t="s">
        <v>21</v>
      </c>
      <c r="B42" t="s">
        <v>56</v>
      </c>
      <c r="C42" t="s">
        <v>67</v>
      </c>
      <c r="D42">
        <v>23.5</v>
      </c>
      <c r="E42">
        <v>1.69</v>
      </c>
      <c r="F42" t="s">
        <v>71</v>
      </c>
      <c r="G42" t="s">
        <v>80</v>
      </c>
      <c r="H42" t="s">
        <v>81</v>
      </c>
      <c r="I42">
        <v>26</v>
      </c>
      <c r="J42">
        <v>82</v>
      </c>
      <c r="K42">
        <v>22.9</v>
      </c>
      <c r="L42">
        <v>0.38600000000000001</v>
      </c>
      <c r="M42">
        <v>0.81</v>
      </c>
      <c r="N42">
        <v>10.5</v>
      </c>
      <c r="O42">
        <v>4.5</v>
      </c>
      <c r="P42">
        <v>50</v>
      </c>
      <c r="Q42">
        <f t="shared" si="1"/>
        <v>34.5</v>
      </c>
      <c r="R42" t="str">
        <f t="shared" si="0"/>
        <v>WIN</v>
      </c>
    </row>
    <row r="43" spans="1:18" x14ac:dyDescent="0.2">
      <c r="A43" t="s">
        <v>20</v>
      </c>
      <c r="B43" t="s">
        <v>57</v>
      </c>
      <c r="C43" t="s">
        <v>66</v>
      </c>
      <c r="D43">
        <v>0.5</v>
      </c>
      <c r="E43">
        <v>1.67</v>
      </c>
      <c r="F43" t="s">
        <v>68</v>
      </c>
      <c r="G43" t="s">
        <v>79</v>
      </c>
      <c r="H43" t="s">
        <v>81</v>
      </c>
      <c r="I43">
        <v>0.8</v>
      </c>
      <c r="J43">
        <v>82.8</v>
      </c>
      <c r="K43">
        <v>22.9</v>
      </c>
      <c r="L43">
        <v>0.38200000000000001</v>
      </c>
      <c r="M43">
        <v>0.92</v>
      </c>
      <c r="N43">
        <v>58</v>
      </c>
      <c r="O43">
        <v>1.5</v>
      </c>
      <c r="P43">
        <v>50</v>
      </c>
      <c r="Q43">
        <v>-50</v>
      </c>
      <c r="R43" t="str">
        <f t="shared" si="0"/>
        <v>LOSE</v>
      </c>
    </row>
    <row r="44" spans="1:18" x14ac:dyDescent="0.2">
      <c r="A44" t="s">
        <v>20</v>
      </c>
      <c r="B44" t="s">
        <v>57</v>
      </c>
      <c r="C44" t="s">
        <v>67</v>
      </c>
      <c r="D44">
        <v>12.5</v>
      </c>
      <c r="E44">
        <v>1.61</v>
      </c>
      <c r="F44" t="s">
        <v>71</v>
      </c>
      <c r="G44" t="s">
        <v>79</v>
      </c>
      <c r="H44" t="s">
        <v>81</v>
      </c>
      <c r="I44">
        <v>14.8</v>
      </c>
      <c r="J44">
        <v>85.3</v>
      </c>
      <c r="K44">
        <v>23.2</v>
      </c>
      <c r="L44">
        <v>0.373</v>
      </c>
      <c r="M44">
        <v>0.88</v>
      </c>
      <c r="N44">
        <v>18.3</v>
      </c>
      <c r="O44">
        <v>1.5</v>
      </c>
      <c r="P44">
        <v>50</v>
      </c>
      <c r="Q44">
        <f t="shared" si="1"/>
        <v>30.5</v>
      </c>
      <c r="R44" t="str">
        <f t="shared" si="0"/>
        <v>WIN</v>
      </c>
    </row>
    <row r="45" spans="1:18" x14ac:dyDescent="0.2">
      <c r="A45" t="s">
        <v>20</v>
      </c>
      <c r="B45" t="s">
        <v>57</v>
      </c>
      <c r="C45" t="s">
        <v>65</v>
      </c>
      <c r="D45">
        <v>8.5</v>
      </c>
      <c r="E45">
        <v>1.62</v>
      </c>
      <c r="F45" t="s">
        <v>71</v>
      </c>
      <c r="G45" t="s">
        <v>79</v>
      </c>
      <c r="H45" t="s">
        <v>81</v>
      </c>
      <c r="I45">
        <v>9.9</v>
      </c>
      <c r="J45">
        <v>84.1</v>
      </c>
      <c r="K45">
        <v>22.4</v>
      </c>
      <c r="L45">
        <v>0.36199999999999999</v>
      </c>
      <c r="M45">
        <v>0.83</v>
      </c>
      <c r="N45">
        <v>16.399999999999999</v>
      </c>
      <c r="O45">
        <v>1.5</v>
      </c>
      <c r="P45">
        <v>50</v>
      </c>
      <c r="Q45">
        <f t="shared" si="1"/>
        <v>31</v>
      </c>
      <c r="R45" t="str">
        <f t="shared" si="0"/>
        <v>WIN</v>
      </c>
    </row>
    <row r="46" spans="1:18" x14ac:dyDescent="0.2">
      <c r="A46" t="s">
        <v>16</v>
      </c>
      <c r="B46" t="s">
        <v>44</v>
      </c>
      <c r="C46" t="s">
        <v>67</v>
      </c>
      <c r="D46">
        <v>14.5</v>
      </c>
      <c r="E46">
        <v>1.61</v>
      </c>
      <c r="F46" t="s">
        <v>71</v>
      </c>
      <c r="G46" t="s">
        <v>75</v>
      </c>
      <c r="H46" t="s">
        <v>82</v>
      </c>
      <c r="I46">
        <v>12.5</v>
      </c>
      <c r="J46">
        <v>84.4</v>
      </c>
      <c r="K46">
        <v>22.3</v>
      </c>
      <c r="L46">
        <v>0.35799999999999998</v>
      </c>
      <c r="M46">
        <v>0.81</v>
      </c>
      <c r="N46">
        <v>-14</v>
      </c>
      <c r="O46">
        <v>5</v>
      </c>
      <c r="P46">
        <v>50</v>
      </c>
      <c r="Q46">
        <v>-50</v>
      </c>
      <c r="R46" t="str">
        <f t="shared" si="0"/>
        <v>LOSE</v>
      </c>
    </row>
    <row r="47" spans="1:18" x14ac:dyDescent="0.2">
      <c r="A47" t="s">
        <v>17</v>
      </c>
      <c r="B47" t="s">
        <v>58</v>
      </c>
      <c r="C47" t="s">
        <v>66</v>
      </c>
      <c r="D47">
        <v>2.5</v>
      </c>
      <c r="E47">
        <v>1.75</v>
      </c>
      <c r="F47" t="s">
        <v>74</v>
      </c>
      <c r="G47" t="s">
        <v>76</v>
      </c>
      <c r="H47" t="s">
        <v>81</v>
      </c>
      <c r="I47">
        <v>2.8</v>
      </c>
      <c r="J47">
        <v>77.2</v>
      </c>
      <c r="K47">
        <v>20.100000000000001</v>
      </c>
      <c r="L47">
        <v>0.35099999999999998</v>
      </c>
      <c r="M47">
        <v>0.87</v>
      </c>
      <c r="N47">
        <v>14</v>
      </c>
      <c r="O47">
        <v>10.5</v>
      </c>
      <c r="P47">
        <v>50</v>
      </c>
      <c r="Q47">
        <v>-50</v>
      </c>
      <c r="R47" t="str">
        <f t="shared" si="0"/>
        <v>LOSE</v>
      </c>
    </row>
    <row r="48" spans="1:18" x14ac:dyDescent="0.2">
      <c r="A48" t="s">
        <v>19</v>
      </c>
      <c r="B48" t="s">
        <v>59</v>
      </c>
      <c r="C48" t="s">
        <v>65</v>
      </c>
      <c r="D48">
        <v>2.5</v>
      </c>
      <c r="E48">
        <v>1.77</v>
      </c>
      <c r="F48" t="s">
        <v>68</v>
      </c>
      <c r="G48" t="s">
        <v>78</v>
      </c>
      <c r="H48" t="s">
        <v>81</v>
      </c>
      <c r="I48">
        <v>3</v>
      </c>
      <c r="J48">
        <v>75.2</v>
      </c>
      <c r="K48">
        <v>18.7</v>
      </c>
      <c r="L48">
        <v>0.33200000000000002</v>
      </c>
      <c r="M48">
        <v>0.83</v>
      </c>
      <c r="N48">
        <v>18.8</v>
      </c>
      <c r="O48">
        <v>4</v>
      </c>
      <c r="P48">
        <v>50</v>
      </c>
      <c r="Q48">
        <v>-50</v>
      </c>
      <c r="R48" t="str">
        <f t="shared" si="0"/>
        <v>LOSE</v>
      </c>
    </row>
    <row r="49" spans="1:18" x14ac:dyDescent="0.2">
      <c r="A49" t="s">
        <v>21</v>
      </c>
      <c r="B49" t="s">
        <v>60</v>
      </c>
      <c r="C49" t="s">
        <v>67</v>
      </c>
      <c r="D49">
        <v>29.5</v>
      </c>
      <c r="E49">
        <v>1.69</v>
      </c>
      <c r="F49" t="s">
        <v>71</v>
      </c>
      <c r="G49" t="s">
        <v>80</v>
      </c>
      <c r="H49" t="s">
        <v>82</v>
      </c>
      <c r="I49">
        <v>26</v>
      </c>
      <c r="J49">
        <v>78.7</v>
      </c>
      <c r="K49">
        <v>19.5</v>
      </c>
      <c r="L49">
        <v>0.32900000000000001</v>
      </c>
      <c r="M49">
        <v>0.82</v>
      </c>
      <c r="N49">
        <v>-11.9</v>
      </c>
      <c r="O49">
        <v>4.5</v>
      </c>
      <c r="P49">
        <v>50</v>
      </c>
      <c r="Q49">
        <v>-50</v>
      </c>
      <c r="R49" t="str">
        <f t="shared" si="0"/>
        <v>LOSE</v>
      </c>
    </row>
    <row r="50" spans="1:18" x14ac:dyDescent="0.2">
      <c r="A50" t="s">
        <v>20</v>
      </c>
      <c r="B50" t="s">
        <v>61</v>
      </c>
      <c r="C50" t="s">
        <v>67</v>
      </c>
      <c r="D50">
        <v>10.5</v>
      </c>
      <c r="E50">
        <v>1.61</v>
      </c>
      <c r="F50" t="s">
        <v>72</v>
      </c>
      <c r="G50" t="s">
        <v>79</v>
      </c>
      <c r="H50" t="s">
        <v>82</v>
      </c>
      <c r="I50">
        <v>9.1999999999999993</v>
      </c>
      <c r="J50">
        <v>82.1</v>
      </c>
      <c r="K50">
        <v>20</v>
      </c>
      <c r="L50">
        <v>0.32100000000000001</v>
      </c>
      <c r="M50">
        <v>0.95</v>
      </c>
      <c r="N50">
        <v>-12.4</v>
      </c>
      <c r="O50">
        <v>1.5</v>
      </c>
      <c r="P50">
        <v>50</v>
      </c>
      <c r="Q50">
        <v>-50</v>
      </c>
      <c r="R50" t="str">
        <f t="shared" si="0"/>
        <v>LOSE</v>
      </c>
    </row>
    <row r="51" spans="1:18" x14ac:dyDescent="0.2">
      <c r="A51" t="s">
        <v>21</v>
      </c>
      <c r="B51" t="s">
        <v>62</v>
      </c>
      <c r="C51" t="s">
        <v>67</v>
      </c>
      <c r="D51">
        <v>8.5</v>
      </c>
      <c r="E51">
        <v>1.74</v>
      </c>
      <c r="F51" t="s">
        <v>72</v>
      </c>
      <c r="G51" t="s">
        <v>80</v>
      </c>
      <c r="H51" t="s">
        <v>81</v>
      </c>
      <c r="I51">
        <v>9.5</v>
      </c>
      <c r="J51">
        <v>73.400000000000006</v>
      </c>
      <c r="K51">
        <v>16</v>
      </c>
      <c r="L51">
        <v>0.27800000000000002</v>
      </c>
      <c r="M51">
        <v>0.93</v>
      </c>
      <c r="N51">
        <v>12.1</v>
      </c>
      <c r="O51">
        <v>4.5</v>
      </c>
      <c r="P51">
        <v>50</v>
      </c>
      <c r="Q51">
        <v>-50</v>
      </c>
      <c r="R51" t="str">
        <f t="shared" si="0"/>
        <v>LOSE</v>
      </c>
    </row>
    <row r="52" spans="1:18" x14ac:dyDescent="0.2">
      <c r="A52" t="s">
        <v>20</v>
      </c>
      <c r="B52" t="s">
        <v>63</v>
      </c>
      <c r="C52" t="s">
        <v>67</v>
      </c>
      <c r="D52">
        <v>11.5</v>
      </c>
      <c r="E52">
        <v>1.78</v>
      </c>
      <c r="F52" t="s">
        <v>74</v>
      </c>
      <c r="G52" t="s">
        <v>79</v>
      </c>
      <c r="H52" t="s">
        <v>81</v>
      </c>
      <c r="I52">
        <v>12.7</v>
      </c>
      <c r="J52">
        <v>70.900000000000006</v>
      </c>
      <c r="K52">
        <v>14.7</v>
      </c>
      <c r="L52">
        <v>0.26200000000000001</v>
      </c>
      <c r="M52">
        <v>0.82</v>
      </c>
      <c r="N52">
        <v>10.1</v>
      </c>
      <c r="O52">
        <v>1.5</v>
      </c>
      <c r="P52">
        <v>50</v>
      </c>
      <c r="Q52">
        <v>-50</v>
      </c>
      <c r="R52" t="str">
        <f t="shared" si="0"/>
        <v>LOSE</v>
      </c>
    </row>
    <row r="53" spans="1:18" x14ac:dyDescent="0.2">
      <c r="A53" t="s">
        <v>20</v>
      </c>
      <c r="B53" t="s">
        <v>48</v>
      </c>
      <c r="C53" t="s">
        <v>66</v>
      </c>
      <c r="D53">
        <v>1.5</v>
      </c>
      <c r="E53">
        <v>1.6</v>
      </c>
      <c r="F53" t="s">
        <v>74</v>
      </c>
      <c r="G53" t="s">
        <v>79</v>
      </c>
      <c r="H53" t="s">
        <v>82</v>
      </c>
      <c r="I53">
        <v>1.2</v>
      </c>
      <c r="J53">
        <v>78.5</v>
      </c>
      <c r="K53">
        <v>16</v>
      </c>
      <c r="L53">
        <v>0.25600000000000001</v>
      </c>
      <c r="M53">
        <v>0.85</v>
      </c>
      <c r="N53">
        <v>-22</v>
      </c>
      <c r="O53">
        <v>1.5</v>
      </c>
      <c r="P53">
        <v>50</v>
      </c>
      <c r="Q53">
        <f t="shared" si="1"/>
        <v>30</v>
      </c>
      <c r="R53" t="str">
        <f t="shared" si="0"/>
        <v>WIN</v>
      </c>
    </row>
    <row r="54" spans="1:18" x14ac:dyDescent="0.2">
      <c r="A54" t="s">
        <v>21</v>
      </c>
      <c r="B54" t="s">
        <v>60</v>
      </c>
      <c r="C54" t="s">
        <v>66</v>
      </c>
      <c r="D54">
        <v>3.5</v>
      </c>
      <c r="E54">
        <v>1.61</v>
      </c>
      <c r="F54" t="s">
        <v>74</v>
      </c>
      <c r="G54" t="s">
        <v>80</v>
      </c>
      <c r="H54" t="s">
        <v>81</v>
      </c>
      <c r="I54">
        <v>4.0999999999999996</v>
      </c>
      <c r="J54">
        <v>76.7</v>
      </c>
      <c r="K54">
        <v>14.6</v>
      </c>
      <c r="L54">
        <v>0.23499999999999999</v>
      </c>
      <c r="M54">
        <v>0.83</v>
      </c>
      <c r="N54">
        <v>16.600000000000001</v>
      </c>
      <c r="O54">
        <v>4.5</v>
      </c>
      <c r="P54">
        <v>50</v>
      </c>
      <c r="Q54">
        <v>-50</v>
      </c>
      <c r="R54" t="str">
        <f t="shared" si="0"/>
        <v>LOSE</v>
      </c>
    </row>
    <row r="55" spans="1:18" x14ac:dyDescent="0.2">
      <c r="A55" t="s">
        <v>17</v>
      </c>
      <c r="B55" t="s">
        <v>64</v>
      </c>
      <c r="C55" t="s">
        <v>67</v>
      </c>
      <c r="D55">
        <v>22.5</v>
      </c>
      <c r="E55">
        <v>1.62</v>
      </c>
      <c r="F55" t="s">
        <v>71</v>
      </c>
      <c r="G55" t="s">
        <v>76</v>
      </c>
      <c r="H55" t="s">
        <v>82</v>
      </c>
      <c r="I55">
        <v>20.100000000000001</v>
      </c>
      <c r="J55">
        <v>75.5</v>
      </c>
      <c r="K55">
        <v>13.8</v>
      </c>
      <c r="L55">
        <v>0.224</v>
      </c>
      <c r="M55">
        <v>0.94</v>
      </c>
      <c r="N55">
        <v>-10.5</v>
      </c>
      <c r="O55">
        <v>10.5</v>
      </c>
      <c r="P55">
        <v>50</v>
      </c>
      <c r="Q55">
        <f t="shared" si="1"/>
        <v>31</v>
      </c>
      <c r="R55" t="str">
        <f t="shared" si="0"/>
        <v>WIN</v>
      </c>
    </row>
    <row r="56" spans="1:18" x14ac:dyDescent="0.2">
      <c r="E56">
        <f>AVERAGE(E2:E55)</f>
        <v>1.7838888888888886</v>
      </c>
      <c r="P56">
        <f>SUM(P2:P55)</f>
        <v>2650</v>
      </c>
      <c r="Q56">
        <f>SUM(Q2:Q55)</f>
        <v>-346.5</v>
      </c>
    </row>
    <row r="57" spans="1:18" x14ac:dyDescent="0.2">
      <c r="Q57" s="2">
        <f>Q56/P56</f>
        <v>-0.13075471698113209</v>
      </c>
    </row>
  </sheetData>
  <autoFilter ref="A1:S57" xr:uid="{00000000-0001-0000-0000-000000000000}"/>
  <conditionalFormatting sqref="R2:R56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2025-12-14T21:20:12Z</dcterms:created>
  <dcterms:modified xsi:type="dcterms:W3CDTF">2025-12-17T17:06:34Z</dcterms:modified>
</cp:coreProperties>
</file>