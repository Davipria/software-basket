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"/>
    </mc:Choice>
  </mc:AlternateContent>
  <xr:revisionPtr revIDLastSave="0" documentId="13_ncr:1_{C513EE88-32FC-C04D-8E6D-7D8A059B733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Sheet1!$A$1:$S$12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P11" i="1" l="1"/>
  <c r="R4" i="1"/>
  <c r="Q5" i="1"/>
  <c r="R5" i="1" s="1"/>
  <c r="Q6" i="1"/>
  <c r="R7" i="1"/>
  <c r="Q8" i="1"/>
  <c r="R8" i="1" s="1"/>
  <c r="Q9" i="1"/>
  <c r="R9" i="1" s="1"/>
  <c r="Q10" i="1"/>
  <c r="R10" i="1" s="1"/>
  <c r="R2" i="1"/>
  <c r="Q11" i="1" l="1"/>
  <c r="Q12" i="1" s="1"/>
  <c r="S3" i="1"/>
  <c r="S2" i="1"/>
  <c r="R3" i="1"/>
</calcChain>
</file>

<file path=xl/sharedStrings.xml><?xml version="1.0" encoding="utf-8"?>
<sst xmlns="http://schemas.openxmlformats.org/spreadsheetml/2006/main" count="70" uniqueCount="40">
  <si>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</si>
  <si>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</si>
  <si>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</si>
  <si>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</si>
  <si>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</si>
  <si>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</si>
  <si>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</si>
  <si>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</si>
  <si>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</si>
  <si>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</si>
  <si>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</si>
  <si>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</si>
  <si>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</si>
  <si>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</si>
  <si>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</si>
  <si>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</si>
  <si>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a9cbe798da439bd9d012976f7738591b</t>
  </si>
  <si>
    <t>3dfcf87c4c788368e199e9d23b2c1831</t>
  </si>
  <si>
    <t>Jarrett Allen</t>
  </si>
  <si>
    <t>Jaren Jackson Jr</t>
  </si>
  <si>
    <t>Jock Landale</t>
  </si>
  <si>
    <t>Jaylen Wells</t>
  </si>
  <si>
    <t>Anthony Edwards</t>
  </si>
  <si>
    <t>Donte DiVincenzo</t>
  </si>
  <si>
    <t>Jaylon Tyson</t>
  </si>
  <si>
    <t>Naz Reid</t>
  </si>
  <si>
    <t>De'Andre Hunter</t>
  </si>
  <si>
    <t>points</t>
  </si>
  <si>
    <t>rebounds</t>
  </si>
  <si>
    <t>assists</t>
  </si>
  <si>
    <t>Bovada</t>
  </si>
  <si>
    <t>DraftKings</t>
  </si>
  <si>
    <t>BetOnline.ag</t>
  </si>
  <si>
    <t>Pinnacle</t>
  </si>
  <si>
    <t>FanDuel</t>
  </si>
  <si>
    <t>BetRivers</t>
  </si>
  <si>
    <t>Cleveland Cavaliers @ Chicago Bulls</t>
  </si>
  <si>
    <t>Memphis Grizzlies @ Minnesota Timberwolves</t>
  </si>
  <si>
    <t>Over</t>
  </si>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</sst>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2" max="2" width="14.6640625" bestFit="1" customWidth="1"/>
    <col min="7" max="7" width="36.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 x14ac:dyDescent="0.2">
      <c r="A2" t="s">
        <v>16</v>
      </c>
      <c r="B2" t="s">
        <v>18</v>
      </c>
      <c r="C2" t="s">
        <v>27</v>
      </c>
      <c r="D2">
        <v>14.5</v>
      </c>
      <c r="E2">
        <v>2.0499999999999998</v>
      </c>
      <c r="F2" t="s">
        <v>30</v>
      </c>
      <c r="G2" t="s">
        <v>36</v>
      </c>
      <c r="H2" t="s">
        <v>38</v>
      </c>
      <c r="I2">
        <v>18.3</v>
      </c>
      <c r="J2">
        <v>90.6</v>
      </c>
      <c r="K2">
        <v>41.8</v>
      </c>
      <c r="L2">
        <v>0.85799999999999998</v>
      </c>
      <c r="M2">
        <v>0.76</v>
      </c>
      <c r="N2">
        <v>26</v>
      </c>
      <c r="O2">
        <v>5.5</v>
      </c>
      <c r="P2">
        <v>50</v>
      </c>
      <c r="Q2">
        <v>-50</v>
      </c>
      <c r="R2" t="str">
        <f>IF(Q2=-50,"LOSE","WIN")</f>
        <v>LOSE</v>
      </c>
      <c r="S2">
        <f>COUNTIF(R2:R10,"WIN")</f>
        <v>4</v>
      </c>
    </row>
    <row r="3" spans="1:19" x14ac:dyDescent="0.2">
      <c r="A3" t="s">
        <v>17</v>
      </c>
      <c r="B3" t="s">
        <v>19</v>
      </c>
      <c r="C3" t="s">
        <v>27</v>
      </c>
      <c r="D3">
        <v>19.5</v>
      </c>
      <c r="E3">
        <v>1.89</v>
      </c>
      <c r="F3" t="s">
        <v>31</v>
      </c>
      <c r="G3" t="s">
        <v>37</v>
      </c>
      <c r="H3" t="s">
        <v>39</v>
      </c>
      <c r="I3">
        <v>16.7</v>
      </c>
      <c r="J3">
        <v>90.1</v>
      </c>
      <c r="K3">
        <v>37.200000000000003</v>
      </c>
      <c r="L3">
        <v>0.70299999999999996</v>
      </c>
      <c r="M3">
        <v>0.83</v>
      </c>
      <c r="N3">
        <v>-14.5</v>
      </c>
      <c r="O3">
        <v>7.5</v>
      </c>
      <c r="P3">
        <v>50</v>
      </c>
      <c r="Q3">
        <v>-50</v>
      </c>
      <c r="R3" t="str">
        <f t="shared" ref="R3:R10" si="0">IF(Q3=-50,"LOSE","WIN")</f>
        <v>LOSE</v>
      </c>
      <c r="S3">
        <f>COUNTIF(R2:R10,"LOSE")</f>
        <v>4</v>
      </c>
    </row>
    <row r="4" spans="1:19" x14ac:dyDescent="0.2">
      <c r="A4" t="s">
        <v>17</v>
      </c>
      <c r="B4" t="s">
        <v>20</v>
      </c>
      <c r="C4" t="s">
        <v>28</v>
      </c>
      <c r="D4">
        <v>6.5</v>
      </c>
      <c r="E4">
        <v>1.76</v>
      </c>
      <c r="F4" t="s">
        <v>31</v>
      </c>
      <c r="G4" t="s">
        <v>37</v>
      </c>
      <c r="H4" t="s">
        <v>39</v>
      </c>
      <c r="I4">
        <v>5.3</v>
      </c>
      <c r="J4">
        <v>95.1</v>
      </c>
      <c r="K4">
        <v>38.299999999999997</v>
      </c>
      <c r="L4">
        <v>0.67400000000000004</v>
      </c>
      <c r="M4">
        <v>0.94</v>
      </c>
      <c r="N4">
        <v>-18</v>
      </c>
      <c r="O4">
        <v>7.5</v>
      </c>
      <c r="P4">
        <v>50</v>
      </c>
      <c r="Q4">
        <v>-50</v>
      </c>
      <c r="R4" t="str">
        <f t="shared" si="0"/>
        <v>LOSE</v>
      </c>
    </row>
    <row r="5" spans="1:19" x14ac:dyDescent="0.2">
      <c r="A5" t="s">
        <v>17</v>
      </c>
      <c r="B5" t="s">
        <v>21</v>
      </c>
      <c r="C5" t="s">
        <v>28</v>
      </c>
      <c r="D5">
        <v>3.5</v>
      </c>
      <c r="E5">
        <v>1.74</v>
      </c>
      <c r="F5" t="s">
        <v>32</v>
      </c>
      <c r="G5" t="s">
        <v>37</v>
      </c>
      <c r="H5" t="s">
        <v>38</v>
      </c>
      <c r="I5">
        <v>4.5</v>
      </c>
      <c r="J5">
        <v>96.1</v>
      </c>
      <c r="K5">
        <v>38.6</v>
      </c>
      <c r="L5">
        <v>0.67200000000000004</v>
      </c>
      <c r="M5">
        <v>0.93</v>
      </c>
      <c r="N5">
        <v>28.9</v>
      </c>
      <c r="O5">
        <v>7.5</v>
      </c>
      <c r="P5">
        <v>50</v>
      </c>
      <c r="Q5">
        <f t="shared" ref="Q3:Q10" si="1">P5*E5-P5</f>
        <v>37</v>
      </c>
      <c r="R5" t="str">
        <f t="shared" si="0"/>
        <v>WIN</v>
      </c>
    </row>
    <row r="6" spans="1:19" x14ac:dyDescent="0.2">
      <c r="A6" t="s">
        <v>17</v>
      </c>
      <c r="B6" t="s">
        <v>22</v>
      </c>
      <c r="C6" t="s">
        <v>29</v>
      </c>
      <c r="D6">
        <v>4.5</v>
      </c>
      <c r="E6">
        <v>1.78</v>
      </c>
      <c r="F6" t="s">
        <v>33</v>
      </c>
      <c r="G6" t="s">
        <v>37</v>
      </c>
      <c r="H6" t="s">
        <v>39</v>
      </c>
      <c r="I6">
        <v>3.7</v>
      </c>
      <c r="J6">
        <v>90.7</v>
      </c>
      <c r="K6">
        <v>34.5</v>
      </c>
      <c r="L6">
        <v>0.61399999999999999</v>
      </c>
      <c r="M6">
        <v>0.85</v>
      </c>
      <c r="N6">
        <v>-18</v>
      </c>
      <c r="O6">
        <v>7.5</v>
      </c>
      <c r="P6">
        <v>0</v>
      </c>
      <c r="Q6">
        <f t="shared" si="1"/>
        <v>0</v>
      </c>
    </row>
    <row r="7" spans="1:19" x14ac:dyDescent="0.2">
      <c r="A7" t="s">
        <v>17</v>
      </c>
      <c r="B7" t="s">
        <v>23</v>
      </c>
      <c r="C7" t="s">
        <v>27</v>
      </c>
      <c r="D7">
        <v>14.5</v>
      </c>
      <c r="E7">
        <v>1.74</v>
      </c>
      <c r="F7" t="s">
        <v>34</v>
      </c>
      <c r="G7" t="s">
        <v>37</v>
      </c>
      <c r="H7" t="s">
        <v>39</v>
      </c>
      <c r="I7">
        <v>12.5</v>
      </c>
      <c r="J7">
        <v>87.6</v>
      </c>
      <c r="K7">
        <v>30.1</v>
      </c>
      <c r="L7">
        <v>0.52300000000000002</v>
      </c>
      <c r="M7">
        <v>0.95</v>
      </c>
      <c r="N7">
        <v>-13.9</v>
      </c>
      <c r="O7">
        <v>7.5</v>
      </c>
      <c r="P7">
        <v>50</v>
      </c>
      <c r="Q7">
        <v>-50</v>
      </c>
      <c r="R7" t="str">
        <f t="shared" si="0"/>
        <v>LOSE</v>
      </c>
    </row>
    <row r="8" spans="1:19" x14ac:dyDescent="0.2">
      <c r="A8" t="s">
        <v>16</v>
      </c>
      <c r="B8" t="s">
        <v>24</v>
      </c>
      <c r="C8" t="s">
        <v>27</v>
      </c>
      <c r="D8">
        <v>12.5</v>
      </c>
      <c r="E8">
        <v>1.8</v>
      </c>
      <c r="F8" t="s">
        <v>30</v>
      </c>
      <c r="G8" t="s">
        <v>36</v>
      </c>
      <c r="H8" t="s">
        <v>38</v>
      </c>
      <c r="I8">
        <v>14.1</v>
      </c>
      <c r="J8">
        <v>80.599999999999994</v>
      </c>
      <c r="K8">
        <v>25.1</v>
      </c>
      <c r="L8">
        <v>0.45100000000000001</v>
      </c>
      <c r="M8">
        <v>0.95</v>
      </c>
      <c r="N8">
        <v>12.9</v>
      </c>
      <c r="O8">
        <v>5.5</v>
      </c>
      <c r="P8">
        <v>50</v>
      </c>
      <c r="Q8">
        <f t="shared" si="1"/>
        <v>40</v>
      </c>
      <c r="R8" t="str">
        <f t="shared" si="0"/>
        <v>WIN</v>
      </c>
    </row>
    <row r="9" spans="1:19" x14ac:dyDescent="0.2">
      <c r="A9" t="s">
        <v>17</v>
      </c>
      <c r="B9" t="s">
        <v>25</v>
      </c>
      <c r="C9" t="s">
        <v>27</v>
      </c>
      <c r="D9">
        <v>13.5</v>
      </c>
      <c r="E9">
        <v>1.74</v>
      </c>
      <c r="F9" t="s">
        <v>35</v>
      </c>
      <c r="G9" t="s">
        <v>37</v>
      </c>
      <c r="H9" t="s">
        <v>38</v>
      </c>
      <c r="I9">
        <v>15.3</v>
      </c>
      <c r="J9">
        <v>81.8</v>
      </c>
      <c r="K9">
        <v>24.3</v>
      </c>
      <c r="L9">
        <v>0.42299999999999999</v>
      </c>
      <c r="M9">
        <v>0.95</v>
      </c>
      <c r="N9">
        <v>13.6</v>
      </c>
      <c r="O9">
        <v>7.5</v>
      </c>
      <c r="P9">
        <v>50</v>
      </c>
      <c r="Q9">
        <f t="shared" si="1"/>
        <v>37</v>
      </c>
      <c r="R9" t="str">
        <f t="shared" si="0"/>
        <v>WIN</v>
      </c>
    </row>
    <row r="10" spans="1:19" x14ac:dyDescent="0.2">
      <c r="A10" t="s">
        <v>16</v>
      </c>
      <c r="B10" t="s">
        <v>26</v>
      </c>
      <c r="C10" t="s">
        <v>27</v>
      </c>
      <c r="D10">
        <v>15.5</v>
      </c>
      <c r="E10">
        <v>1.71</v>
      </c>
      <c r="F10" t="s">
        <v>35</v>
      </c>
      <c r="G10" t="s">
        <v>36</v>
      </c>
      <c r="H10" t="s">
        <v>39</v>
      </c>
      <c r="I10">
        <v>13.6</v>
      </c>
      <c r="J10">
        <v>82.6</v>
      </c>
      <c r="K10">
        <v>24.1</v>
      </c>
      <c r="L10">
        <v>0.41199999999999998</v>
      </c>
      <c r="M10">
        <v>0.95</v>
      </c>
      <c r="N10">
        <v>-12.5</v>
      </c>
      <c r="O10">
        <v>5.5</v>
      </c>
      <c r="P10">
        <v>50</v>
      </c>
      <c r="Q10">
        <f t="shared" si="1"/>
        <v>35.5</v>
      </c>
      <c r="R10" t="str">
        <f t="shared" si="0"/>
        <v>WIN</v>
      </c>
    </row>
    <row r="11" spans="1:19" x14ac:dyDescent="0.2">
      <c r="E11">
        <f>AVERAGE(E2:E10)</f>
        <v>1.8011111111111111</v>
      </c>
      <c r="P11">
        <f>SUM(P2:P10)</f>
        <v>400</v>
      </c>
      <c r="Q11">
        <f>SUM(Q2:Q10)</f>
        <v>-50.5</v>
      </c>
    </row>
    <row r="12" spans="1:19" x14ac:dyDescent="0.2">
      <c r="Q12" s="2">
        <f>Q11/P11</f>
        <v>-0.12625</v>
      </c>
    </row>
  </sheetData>
  <autoFilter ref="A1:S12" xr:uid="{00000000-0001-0000-0000-000000000000}"/>
  <conditionalFormatting sqref="R2:R10">
    <cfRule type="expression" dxfId="1" priority="1">
      <formula>Q2=-50</formula>
    </cfRule>
    <cfRule type="expression" dxfId="0" priority="2">
      <formula>Q2&gt;0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2025-12-17T16:42:33Z</dcterms:created>
  <dcterms:modified xsi:type="dcterms:W3CDTF">2025-12-20T10:20:55Z</dcterms:modified>
</cp:coreProperties>
</file>